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זמנות" sheetId="1" state="visible" r:id="rId1"/>
    <sheet xmlns:r="http://schemas.openxmlformats.org/officeDocument/2006/relationships" name="סיכו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 ₪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4"/>
    </font>
    <font>
      <name val="Arial"/>
      <b val="1"/>
      <sz val="11"/>
    </font>
    <font>
      <name val="Arial"/>
      <sz val="11"/>
    </font>
    <font>
      <name val="Arial"/>
      <b val="1"/>
      <color rgb="001F3864"/>
      <sz val="11"/>
    </font>
    <font/>
    <font>
      <name val="Arial"/>
      <b val="1"/>
      <color rgb="00FFFFFF"/>
      <sz val="12"/>
    </font>
    <font>
      <name val="Arial"/>
      <b val="1"/>
      <sz val="14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CD5B4"/>
        <bgColor rgb="00FCD5B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1F3864"/>
        <bgColor rgb="001F3864"/>
      </patternFill>
    </fill>
  </fills>
  <borders count="5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bottom style="medium">
        <color rgb="00FFFFFF"/>
      </bottom>
    </border>
    <border/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65" fontId="7" fillId="0" borderId="0" pivotButton="0" quotePrefix="0" xfId="0"/>
    <xf numFmtId="0" fontId="8" fillId="0" borderId="1" applyAlignment="1" pivotButton="0" quotePrefix="0" xfId="0">
      <alignment horizontal="center"/>
    </xf>
    <xf numFmtId="0" fontId="3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5" fontId="4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9" fillId="0" borderId="4" pivotButton="0" quotePrefix="0" xfId="0"/>
    <xf numFmtId="0" fontId="10" fillId="5" borderId="4" pivotButton="0" quotePrefix="0" xfId="0"/>
    <xf numFmtId="0" fontId="0" fillId="5" borderId="0" pivotButton="0" quotePrefix="0" xfId="0"/>
    <xf numFmtId="0" fontId="6" fillId="6" borderId="2" pivotButton="0" quotePrefix="0" xfId="0"/>
    <xf numFmtId="0" fontId="7" fillId="6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0" borderId="2" pivotButton="0" quotePrefix="0" xfId="0"/>
    <xf numFmtId="165" fontId="7" fillId="0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9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9" fontId="7" fillId="0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0" fillId="5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6E4F0"/>
        </patternFill>
      </fill>
    </dxf>
    <dxf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  <dxf>
      <font>
        <color rgb="00974706"/>
      </font>
      <fill>
        <patternFill patternType="solid">
          <fgColor rgb="00FCD5B4"/>
          <bgColor rgb="00FCD5B4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4" customWidth="1" min="5" max="5"/>
    <col width="22" customWidth="1" min="6" max="6"/>
    <col width="14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2" customWidth="1" min="18" max="18"/>
    <col width="14" customWidth="1" min="19" max="19"/>
    <col width="14" customWidth="1" min="20" max="20"/>
    <col width="14" customWidth="1" min="21" max="21"/>
    <col width="20" customWidth="1" min="22" max="22"/>
  </cols>
  <sheetData>
    <row r="1" ht="40" customHeight="1">
      <c r="A1" s="1" t="inlineStr">
        <is>
          <t>טבלת הזמנות - מיסטרי בוקס חולצות כדורגל</t>
        </is>
      </c>
    </row>
    <row r="2" ht="22" customHeight="1">
      <c r="H2" s="2" t="inlineStr">
        <is>
          <t>מידות - כמויות</t>
        </is>
      </c>
      <c r="N2" s="2" t="inlineStr">
        <is>
          <t>תשלום</t>
        </is>
      </c>
    </row>
    <row r="3" ht="35" customHeight="1">
      <c r="A3" s="20" t="inlineStr">
        <is>
          <t>מס' הזמנה</t>
        </is>
      </c>
      <c r="B3" s="20" t="inlineStr">
        <is>
          <t>תאריך הזמנה</t>
        </is>
      </c>
      <c r="C3" s="20" t="inlineStr">
        <is>
          <t>שם לקוח</t>
        </is>
      </c>
      <c r="D3" s="20" t="inlineStr">
        <is>
          <t>טלפון</t>
        </is>
      </c>
      <c r="E3" s="20" t="inlineStr">
        <is>
          <t>עיר</t>
        </is>
      </c>
      <c r="F3" s="20" t="inlineStr">
        <is>
          <t>כתובת משלוח</t>
        </is>
      </c>
      <c r="G3" s="20" t="inlineStr">
        <is>
          <t>סוג מיסטרי</t>
        </is>
      </c>
      <c r="H3" s="20" t="inlineStr">
        <is>
          <t>S</t>
        </is>
      </c>
      <c r="I3" s="20" t="inlineStr">
        <is>
          <t>M</t>
        </is>
      </c>
      <c r="J3" s="20" t="inlineStr">
        <is>
          <t>L</t>
        </is>
      </c>
      <c r="K3" s="20" t="inlineStr">
        <is>
          <t>XL</t>
        </is>
      </c>
      <c r="L3" s="20" t="inlineStr">
        <is>
          <t>XXL</t>
        </is>
      </c>
      <c r="M3" s="20" t="inlineStr">
        <is>
          <t>סה"כ חולצות</t>
        </is>
      </c>
      <c r="N3" s="20" t="inlineStr">
        <is>
          <t>סכום (₪)</t>
        </is>
      </c>
      <c r="O3" s="20" t="inlineStr">
        <is>
          <t>מקדמה (₪)</t>
        </is>
      </c>
      <c r="P3" s="20" t="inlineStr">
        <is>
          <t>יתרה (₪)</t>
        </is>
      </c>
      <c r="Q3" s="20" t="inlineStr">
        <is>
          <t>אופן תשלום</t>
        </is>
      </c>
      <c r="R3" s="20" t="inlineStr">
        <is>
          <t>סטטוס</t>
        </is>
      </c>
      <c r="S3" s="20" t="inlineStr">
        <is>
          <t>תאריך קבלה</t>
        </is>
      </c>
      <c r="T3" s="20" t="inlineStr">
        <is>
          <t>תאריך אריזה</t>
        </is>
      </c>
      <c r="U3" s="20" t="inlineStr">
        <is>
          <t>תאריך שליחה</t>
        </is>
      </c>
      <c r="V3" s="20" t="inlineStr">
        <is>
          <t>הערות</t>
        </is>
      </c>
    </row>
    <row r="4">
      <c r="A4" s="21" t="n">
        <v>1001</v>
      </c>
      <c r="B4" s="22" t="inlineStr">
        <is>
          <t>2026-03-15</t>
        </is>
      </c>
      <c r="C4" s="21" t="inlineStr">
        <is>
          <t>יוסי כהן</t>
        </is>
      </c>
      <c r="D4" s="21" t="inlineStr">
        <is>
          <t>050-1234567</t>
        </is>
      </c>
      <c r="E4" s="21" t="inlineStr">
        <is>
          <t>תל אביב</t>
        </is>
      </c>
      <c r="F4" s="21" t="inlineStr">
        <is>
          <t>רוטשילד 45</t>
        </is>
      </c>
      <c r="G4" s="21" t="inlineStr">
        <is>
          <t>של העונה</t>
        </is>
      </c>
      <c r="H4" s="21" t="n">
        <v>3</v>
      </c>
      <c r="I4" s="21" t="n">
        <v>5</v>
      </c>
      <c r="J4" s="21" t="n">
        <v>4</v>
      </c>
      <c r="K4" s="21" t="n">
        <v>2</v>
      </c>
      <c r="L4" s="21" t="n">
        <v>0</v>
      </c>
      <c r="M4" s="21">
        <f>SUM(H4:L4)</f>
        <v/>
      </c>
      <c r="N4" s="23" t="n">
        <v>2800</v>
      </c>
      <c r="O4" s="23" t="n">
        <v>2800</v>
      </c>
      <c r="P4" s="23">
        <f>IF(N4="","",N4-O4)</f>
        <v/>
      </c>
      <c r="Q4" s="21" t="inlineStr">
        <is>
          <t>ביט</t>
        </is>
      </c>
      <c r="R4" s="21" t="inlineStr">
        <is>
          <t>נשלח</t>
        </is>
      </c>
      <c r="S4" s="22" t="inlineStr">
        <is>
          <t>2026-03-15</t>
        </is>
      </c>
      <c r="T4" s="22" t="inlineStr">
        <is>
          <t>2026-03-16</t>
        </is>
      </c>
      <c r="U4" s="22" t="inlineStr">
        <is>
          <t>2026-03-17</t>
        </is>
      </c>
      <c r="V4" s="21" t="inlineStr">
        <is>
          <t>הזמנה ראשונה</t>
        </is>
      </c>
    </row>
    <row r="5">
      <c r="A5" s="24" t="n">
        <v>1002</v>
      </c>
      <c r="B5" s="25" t="inlineStr">
        <is>
          <t>2026-03-16</t>
        </is>
      </c>
      <c r="C5" s="24" t="inlineStr">
        <is>
          <t>דני לוי</t>
        </is>
      </c>
      <c r="D5" s="24" t="inlineStr">
        <is>
          <t>052-9876543</t>
        </is>
      </c>
      <c r="E5" s="24" t="inlineStr">
        <is>
          <t>חיפה</t>
        </is>
      </c>
      <c r="F5" s="24" t="inlineStr">
        <is>
          <t>הנשיא 12</t>
        </is>
      </c>
      <c r="G5" s="24" t="inlineStr">
        <is>
          <t>רטרו</t>
        </is>
      </c>
      <c r="H5" s="24" t="n">
        <v>4</v>
      </c>
      <c r="I5" s="24" t="n">
        <v>6</v>
      </c>
      <c r="J5" s="24" t="n">
        <v>3</v>
      </c>
      <c r="K5" s="24" t="n">
        <v>1</v>
      </c>
      <c r="L5" s="24" t="n">
        <v>0</v>
      </c>
      <c r="M5" s="24">
        <f>SUM(H5:L5)</f>
        <v/>
      </c>
      <c r="N5" s="26" t="n">
        <v>3200</v>
      </c>
      <c r="O5" s="26" t="n">
        <v>1500</v>
      </c>
      <c r="P5" s="26">
        <f>IF(N5="","",N5-O5)</f>
        <v/>
      </c>
      <c r="Q5" s="24" t="inlineStr">
        <is>
          <t>אשראי</t>
        </is>
      </c>
      <c r="R5" s="24" t="inlineStr">
        <is>
          <t>נארז</t>
        </is>
      </c>
      <c r="S5" s="25" t="inlineStr">
        <is>
          <t>2026-03-16</t>
        </is>
      </c>
      <c r="T5" s="25" t="inlineStr">
        <is>
          <t>2026-03-17</t>
        </is>
      </c>
      <c r="U5" s="25" t="n"/>
      <c r="V5" s="24" t="n"/>
    </row>
    <row r="6">
      <c r="A6" s="21" t="n">
        <v>1003</v>
      </c>
      <c r="B6" s="22" t="inlineStr">
        <is>
          <t>2026-03-17</t>
        </is>
      </c>
      <c r="C6" s="21" t="inlineStr">
        <is>
          <t>מיכל אברהם</t>
        </is>
      </c>
      <c r="D6" s="21" t="inlineStr">
        <is>
          <t>054-5551234</t>
        </is>
      </c>
      <c r="E6" s="21" t="inlineStr">
        <is>
          <t>ירושלים</t>
        </is>
      </c>
      <c r="F6" s="21" t="inlineStr">
        <is>
          <t>יפו 88</t>
        </is>
      </c>
      <c r="G6" s="21" t="inlineStr">
        <is>
          <t>מיקס</t>
        </is>
      </c>
      <c r="H6" s="21" t="n">
        <v>5</v>
      </c>
      <c r="I6" s="21" t="n">
        <v>8</v>
      </c>
      <c r="J6" s="21" t="n">
        <v>6</v>
      </c>
      <c r="K6" s="21" t="n">
        <v>3</v>
      </c>
      <c r="L6" s="21" t="n">
        <v>2</v>
      </c>
      <c r="M6" s="21">
        <f>SUM(H6:L6)</f>
        <v/>
      </c>
      <c r="N6" s="23" t="n">
        <v>4800</v>
      </c>
      <c r="O6" s="23" t="n">
        <v>2000</v>
      </c>
      <c r="P6" s="23">
        <f>IF(N6="","",N6-O6)</f>
        <v/>
      </c>
      <c r="Q6" s="21" t="inlineStr">
        <is>
          <t>העברה בנקאית</t>
        </is>
      </c>
      <c r="R6" s="21" t="inlineStr">
        <is>
          <t>התקבל</t>
        </is>
      </c>
      <c r="S6" s="22" t="inlineStr">
        <is>
          <t>2026-03-17</t>
        </is>
      </c>
      <c r="T6" s="22" t="n"/>
      <c r="U6" s="22" t="n"/>
      <c r="V6" s="21" t="inlineStr">
        <is>
          <t>הזמנה דחופה</t>
        </is>
      </c>
    </row>
    <row r="7">
      <c r="A7" s="24" t="n">
        <v>1004</v>
      </c>
      <c r="B7" s="25" t="inlineStr">
        <is>
          <t>2026-03-18</t>
        </is>
      </c>
      <c r="C7" s="24" t="inlineStr">
        <is>
          <t>אבי ישראלי</t>
        </is>
      </c>
      <c r="D7" s="24" t="inlineStr">
        <is>
          <t>053-7778899</t>
        </is>
      </c>
      <c r="E7" s="24" t="inlineStr">
        <is>
          <t>באר שבע</t>
        </is>
      </c>
      <c r="F7" s="24" t="inlineStr">
        <is>
          <t>רגר 30</t>
        </is>
      </c>
      <c r="G7" s="24" t="inlineStr">
        <is>
          <t>מונדיאל</t>
        </is>
      </c>
      <c r="H7" s="24" t="n">
        <v>2</v>
      </c>
      <c r="I7" s="24" t="n">
        <v>4</v>
      </c>
      <c r="J7" s="24" t="n">
        <v>3</v>
      </c>
      <c r="K7" s="24" t="n">
        <v>2</v>
      </c>
      <c r="L7" s="24" t="n">
        <v>1</v>
      </c>
      <c r="M7" s="24">
        <f>SUM(H7:L7)</f>
        <v/>
      </c>
      <c r="N7" s="26" t="n">
        <v>2600</v>
      </c>
      <c r="O7" s="26" t="n">
        <v>2600</v>
      </c>
      <c r="P7" s="26">
        <f>IF(N7="","",N7-O7)</f>
        <v/>
      </c>
      <c r="Q7" s="24" t="inlineStr">
        <is>
          <t>פייבוקס</t>
        </is>
      </c>
      <c r="R7" s="24" t="inlineStr">
        <is>
          <t>התקבל</t>
        </is>
      </c>
      <c r="S7" s="25" t="inlineStr">
        <is>
          <t>2026-03-18</t>
        </is>
      </c>
      <c r="T7" s="25" t="n"/>
      <c r="U7" s="25" t="n"/>
      <c r="V7" s="24" t="n"/>
    </row>
    <row r="8">
      <c r="A8" s="27" t="n"/>
      <c r="B8" s="28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>
        <f>IF(COUNTA(H8:L8)&gt;0,SUM(H8:L8),"")</f>
        <v/>
      </c>
      <c r="N8" s="29" t="n"/>
      <c r="O8" s="29" t="n"/>
      <c r="P8" s="29">
        <f>IF(N8="","",N8-O8)</f>
        <v/>
      </c>
      <c r="Q8" s="27" t="n"/>
      <c r="R8" s="27" t="n"/>
      <c r="S8" s="28" t="n"/>
      <c r="T8" s="28" t="n"/>
      <c r="U8" s="28" t="n"/>
      <c r="V8" s="27" t="n"/>
    </row>
    <row r="9">
      <c r="A9" s="27" t="n"/>
      <c r="B9" s="28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>
        <f>IF(COUNTA(H9:L9)&gt;0,SUM(H9:L9),"")</f>
        <v/>
      </c>
      <c r="N9" s="29" t="n"/>
      <c r="O9" s="29" t="n"/>
      <c r="P9" s="29">
        <f>IF(N9="","",N9-O9)</f>
        <v/>
      </c>
      <c r="Q9" s="27" t="n"/>
      <c r="R9" s="27" t="n"/>
      <c r="S9" s="28" t="n"/>
      <c r="T9" s="28" t="n"/>
      <c r="U9" s="28" t="n"/>
      <c r="V9" s="27" t="n"/>
    </row>
    <row r="10">
      <c r="A10" s="27" t="n"/>
      <c r="B10" s="28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>
        <f>IF(COUNTA(H10:L10)&gt;0,SUM(H10:L10),"")</f>
        <v/>
      </c>
      <c r="N10" s="29" t="n"/>
      <c r="O10" s="29" t="n"/>
      <c r="P10" s="29">
        <f>IF(N10="","",N10-O10)</f>
        <v/>
      </c>
      <c r="Q10" s="27" t="n"/>
      <c r="R10" s="27" t="n"/>
      <c r="S10" s="28" t="n"/>
      <c r="T10" s="28" t="n"/>
      <c r="U10" s="28" t="n"/>
      <c r="V10" s="27" t="n"/>
    </row>
    <row r="11">
      <c r="A11" s="27" t="n"/>
      <c r="B11" s="28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>
        <f>IF(COUNTA(H11:L11)&gt;0,SUM(H11:L11),"")</f>
        <v/>
      </c>
      <c r="N11" s="29" t="n"/>
      <c r="O11" s="29" t="n"/>
      <c r="P11" s="29">
        <f>IF(N11="","",N11-O11)</f>
        <v/>
      </c>
      <c r="Q11" s="27" t="n"/>
      <c r="R11" s="27" t="n"/>
      <c r="S11" s="28" t="n"/>
      <c r="T11" s="28" t="n"/>
      <c r="U11" s="28" t="n"/>
      <c r="V11" s="27" t="n"/>
    </row>
    <row r="12">
      <c r="A12" s="27" t="n"/>
      <c r="B12" s="28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>
        <f>IF(COUNTA(H12:L12)&gt;0,SUM(H12:L12),"")</f>
        <v/>
      </c>
      <c r="N12" s="29" t="n"/>
      <c r="O12" s="29" t="n"/>
      <c r="P12" s="29">
        <f>IF(N12="","",N12-O12)</f>
        <v/>
      </c>
      <c r="Q12" s="27" t="n"/>
      <c r="R12" s="27" t="n"/>
      <c r="S12" s="28" t="n"/>
      <c r="T12" s="28" t="n"/>
      <c r="U12" s="28" t="n"/>
      <c r="V12" s="27" t="n"/>
    </row>
    <row r="13">
      <c r="A13" s="27" t="n"/>
      <c r="B13" s="28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>
        <f>IF(COUNTA(H13:L13)&gt;0,SUM(H13:L13),"")</f>
        <v/>
      </c>
      <c r="N13" s="29" t="n"/>
      <c r="O13" s="29" t="n"/>
      <c r="P13" s="29">
        <f>IF(N13="","",N13-O13)</f>
        <v/>
      </c>
      <c r="Q13" s="27" t="n"/>
      <c r="R13" s="27" t="n"/>
      <c r="S13" s="28" t="n"/>
      <c r="T13" s="28" t="n"/>
      <c r="U13" s="28" t="n"/>
      <c r="V13" s="27" t="n"/>
    </row>
    <row r="14">
      <c r="A14" s="27" t="n"/>
      <c r="B14" s="28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>
        <f>IF(COUNTA(H14:L14)&gt;0,SUM(H14:L14),"")</f>
        <v/>
      </c>
      <c r="N14" s="29" t="n"/>
      <c r="O14" s="29" t="n"/>
      <c r="P14" s="29">
        <f>IF(N14="","",N14-O14)</f>
        <v/>
      </c>
      <c r="Q14" s="27" t="n"/>
      <c r="R14" s="27" t="n"/>
      <c r="S14" s="28" t="n"/>
      <c r="T14" s="28" t="n"/>
      <c r="U14" s="28" t="n"/>
      <c r="V14" s="27" t="n"/>
    </row>
    <row r="15">
      <c r="A15" s="27" t="n"/>
      <c r="B15" s="28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>
        <f>IF(COUNTA(H15:L15)&gt;0,SUM(H15:L15),"")</f>
        <v/>
      </c>
      <c r="N15" s="29" t="n"/>
      <c r="O15" s="29" t="n"/>
      <c r="P15" s="29">
        <f>IF(N15="","",N15-O15)</f>
        <v/>
      </c>
      <c r="Q15" s="27" t="n"/>
      <c r="R15" s="27" t="n"/>
      <c r="S15" s="28" t="n"/>
      <c r="T15" s="28" t="n"/>
      <c r="U15" s="28" t="n"/>
      <c r="V15" s="27" t="n"/>
    </row>
    <row r="16">
      <c r="A16" s="27" t="n"/>
      <c r="B16" s="28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>
        <f>IF(COUNTA(H16:L16)&gt;0,SUM(H16:L16),"")</f>
        <v/>
      </c>
      <c r="N16" s="29" t="n"/>
      <c r="O16" s="29" t="n"/>
      <c r="P16" s="29">
        <f>IF(N16="","",N16-O16)</f>
        <v/>
      </c>
      <c r="Q16" s="27" t="n"/>
      <c r="R16" s="27" t="n"/>
      <c r="S16" s="28" t="n"/>
      <c r="T16" s="28" t="n"/>
      <c r="U16" s="28" t="n"/>
      <c r="V16" s="27" t="n"/>
    </row>
    <row r="17">
      <c r="A17" s="27" t="n"/>
      <c r="B17" s="28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>
        <f>IF(COUNTA(H17:L17)&gt;0,SUM(H17:L17),"")</f>
        <v/>
      </c>
      <c r="N17" s="29" t="n"/>
      <c r="O17" s="29" t="n"/>
      <c r="P17" s="29">
        <f>IF(N17="","",N17-O17)</f>
        <v/>
      </c>
      <c r="Q17" s="27" t="n"/>
      <c r="R17" s="27" t="n"/>
      <c r="S17" s="28" t="n"/>
      <c r="T17" s="28" t="n"/>
      <c r="U17" s="28" t="n"/>
      <c r="V17" s="27" t="n"/>
    </row>
    <row r="18">
      <c r="A18" s="27" t="n"/>
      <c r="B18" s="28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>
        <f>IF(COUNTA(H18:L18)&gt;0,SUM(H18:L18),"")</f>
        <v/>
      </c>
      <c r="N18" s="29" t="n"/>
      <c r="O18" s="29" t="n"/>
      <c r="P18" s="29">
        <f>IF(N18="","",N18-O18)</f>
        <v/>
      </c>
      <c r="Q18" s="27" t="n"/>
      <c r="R18" s="27" t="n"/>
      <c r="S18" s="28" t="n"/>
      <c r="T18" s="28" t="n"/>
      <c r="U18" s="28" t="n"/>
      <c r="V18" s="27" t="n"/>
    </row>
    <row r="19">
      <c r="A19" s="27" t="n"/>
      <c r="B19" s="28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>
        <f>IF(COUNTA(H19:L19)&gt;0,SUM(H19:L19),"")</f>
        <v/>
      </c>
      <c r="N19" s="29" t="n"/>
      <c r="O19" s="29" t="n"/>
      <c r="P19" s="29">
        <f>IF(N19="","",N19-O19)</f>
        <v/>
      </c>
      <c r="Q19" s="27" t="n"/>
      <c r="R19" s="27" t="n"/>
      <c r="S19" s="28" t="n"/>
      <c r="T19" s="28" t="n"/>
      <c r="U19" s="28" t="n"/>
      <c r="V19" s="27" t="n"/>
    </row>
    <row r="20">
      <c r="A20" s="27" t="n"/>
      <c r="B20" s="28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>
        <f>IF(COUNTA(H20:L20)&gt;0,SUM(H20:L20),"")</f>
        <v/>
      </c>
      <c r="N20" s="29" t="n"/>
      <c r="O20" s="29" t="n"/>
      <c r="P20" s="29">
        <f>IF(N20="","",N20-O20)</f>
        <v/>
      </c>
      <c r="Q20" s="27" t="n"/>
      <c r="R20" s="27" t="n"/>
      <c r="S20" s="28" t="n"/>
      <c r="T20" s="28" t="n"/>
      <c r="U20" s="28" t="n"/>
      <c r="V20" s="27" t="n"/>
    </row>
    <row r="21">
      <c r="A21" s="27" t="n"/>
      <c r="B21" s="28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>
        <f>IF(COUNTA(H21:L21)&gt;0,SUM(H21:L21),"")</f>
        <v/>
      </c>
      <c r="N21" s="29" t="n"/>
      <c r="O21" s="29" t="n"/>
      <c r="P21" s="29">
        <f>IF(N21="","",N21-O21)</f>
        <v/>
      </c>
      <c r="Q21" s="27" t="n"/>
      <c r="R21" s="27" t="n"/>
      <c r="S21" s="28" t="n"/>
      <c r="T21" s="28" t="n"/>
      <c r="U21" s="28" t="n"/>
      <c r="V21" s="27" t="n"/>
    </row>
    <row r="22">
      <c r="A22" s="27" t="n"/>
      <c r="B22" s="28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>
        <f>IF(COUNTA(H22:L22)&gt;0,SUM(H22:L22),"")</f>
        <v/>
      </c>
      <c r="N22" s="29" t="n"/>
      <c r="O22" s="29" t="n"/>
      <c r="P22" s="29">
        <f>IF(N22="","",N22-O22)</f>
        <v/>
      </c>
      <c r="Q22" s="27" t="n"/>
      <c r="R22" s="27" t="n"/>
      <c r="S22" s="28" t="n"/>
      <c r="T22" s="28" t="n"/>
      <c r="U22" s="28" t="n"/>
      <c r="V22" s="27" t="n"/>
    </row>
    <row r="23">
      <c r="A23" s="27" t="n"/>
      <c r="B23" s="28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>
        <f>IF(COUNTA(H23:L23)&gt;0,SUM(H23:L23),"")</f>
        <v/>
      </c>
      <c r="N23" s="29" t="n"/>
      <c r="O23" s="29" t="n"/>
      <c r="P23" s="29">
        <f>IF(N23="","",N23-O23)</f>
        <v/>
      </c>
      <c r="Q23" s="27" t="n"/>
      <c r="R23" s="27" t="n"/>
      <c r="S23" s="28" t="n"/>
      <c r="T23" s="28" t="n"/>
      <c r="U23" s="28" t="n"/>
      <c r="V23" s="27" t="n"/>
    </row>
    <row r="24">
      <c r="A24" s="27" t="n"/>
      <c r="B24" s="28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>
        <f>IF(COUNTA(H24:L24)&gt;0,SUM(H24:L24),"")</f>
        <v/>
      </c>
      <c r="N24" s="29" t="n"/>
      <c r="O24" s="29" t="n"/>
      <c r="P24" s="29">
        <f>IF(N24="","",N24-O24)</f>
        <v/>
      </c>
      <c r="Q24" s="27" t="n"/>
      <c r="R24" s="27" t="n"/>
      <c r="S24" s="28" t="n"/>
      <c r="T24" s="28" t="n"/>
      <c r="U24" s="28" t="n"/>
      <c r="V24" s="27" t="n"/>
    </row>
    <row r="25">
      <c r="A25" s="27" t="n"/>
      <c r="B25" s="28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>
        <f>IF(COUNTA(H25:L25)&gt;0,SUM(H25:L25),"")</f>
        <v/>
      </c>
      <c r="N25" s="29" t="n"/>
      <c r="O25" s="29" t="n"/>
      <c r="P25" s="29">
        <f>IF(N25="","",N25-O25)</f>
        <v/>
      </c>
      <c r="Q25" s="27" t="n"/>
      <c r="R25" s="27" t="n"/>
      <c r="S25" s="28" t="n"/>
      <c r="T25" s="28" t="n"/>
      <c r="U25" s="28" t="n"/>
      <c r="V25" s="27" t="n"/>
    </row>
    <row r="26">
      <c r="A26" s="27" t="n"/>
      <c r="B26" s="28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>
        <f>IF(COUNTA(H26:L26)&gt;0,SUM(H26:L26),"")</f>
        <v/>
      </c>
      <c r="N26" s="29" t="n"/>
      <c r="O26" s="29" t="n"/>
      <c r="P26" s="29">
        <f>IF(N26="","",N26-O26)</f>
        <v/>
      </c>
      <c r="Q26" s="27" t="n"/>
      <c r="R26" s="27" t="n"/>
      <c r="S26" s="28" t="n"/>
      <c r="T26" s="28" t="n"/>
      <c r="U26" s="28" t="n"/>
      <c r="V26" s="27" t="n"/>
    </row>
    <row r="27">
      <c r="A27" s="27" t="n"/>
      <c r="B27" s="28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>
        <f>IF(COUNTA(H27:L27)&gt;0,SUM(H27:L27),"")</f>
        <v/>
      </c>
      <c r="N27" s="29" t="n"/>
      <c r="O27" s="29" t="n"/>
      <c r="P27" s="29">
        <f>IF(N27="","",N27-O27)</f>
        <v/>
      </c>
      <c r="Q27" s="27" t="n"/>
      <c r="R27" s="27" t="n"/>
      <c r="S27" s="28" t="n"/>
      <c r="T27" s="28" t="n"/>
      <c r="U27" s="28" t="n"/>
      <c r="V27" s="27" t="n"/>
    </row>
    <row r="28">
      <c r="A28" s="27" t="n"/>
      <c r="B28" s="28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>
        <f>IF(COUNTA(H28:L28)&gt;0,SUM(H28:L28),"")</f>
        <v/>
      </c>
      <c r="N28" s="29" t="n"/>
      <c r="O28" s="29" t="n"/>
      <c r="P28" s="29">
        <f>IF(N28="","",N28-O28)</f>
        <v/>
      </c>
      <c r="Q28" s="27" t="n"/>
      <c r="R28" s="27" t="n"/>
      <c r="S28" s="28" t="n"/>
      <c r="T28" s="28" t="n"/>
      <c r="U28" s="28" t="n"/>
      <c r="V28" s="27" t="n"/>
    </row>
    <row r="29">
      <c r="A29" s="27" t="n"/>
      <c r="B29" s="28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>
        <f>IF(COUNTA(H29:L29)&gt;0,SUM(H29:L29),"")</f>
        <v/>
      </c>
      <c r="N29" s="29" t="n"/>
      <c r="O29" s="29" t="n"/>
      <c r="P29" s="29">
        <f>IF(N29="","",N29-O29)</f>
        <v/>
      </c>
      <c r="Q29" s="27" t="n"/>
      <c r="R29" s="27" t="n"/>
      <c r="S29" s="28" t="n"/>
      <c r="T29" s="28" t="n"/>
      <c r="U29" s="28" t="n"/>
      <c r="V29" s="27" t="n"/>
    </row>
    <row r="30">
      <c r="A30" s="27" t="n"/>
      <c r="B30" s="28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>
        <f>IF(COUNTA(H30:L30)&gt;0,SUM(H30:L30),"")</f>
        <v/>
      </c>
      <c r="N30" s="29" t="n"/>
      <c r="O30" s="29" t="n"/>
      <c r="P30" s="29">
        <f>IF(N30="","",N30-O30)</f>
        <v/>
      </c>
      <c r="Q30" s="27" t="n"/>
      <c r="R30" s="27" t="n"/>
      <c r="S30" s="28" t="n"/>
      <c r="T30" s="28" t="n"/>
      <c r="U30" s="28" t="n"/>
      <c r="V30" s="27" t="n"/>
    </row>
    <row r="31">
      <c r="A31" s="27" t="n"/>
      <c r="B31" s="28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>
        <f>IF(COUNTA(H31:L31)&gt;0,SUM(H31:L31),"")</f>
        <v/>
      </c>
      <c r="N31" s="29" t="n"/>
      <c r="O31" s="29" t="n"/>
      <c r="P31" s="29">
        <f>IF(N31="","",N31-O31)</f>
        <v/>
      </c>
      <c r="Q31" s="27" t="n"/>
      <c r="R31" s="27" t="n"/>
      <c r="S31" s="28" t="n"/>
      <c r="T31" s="28" t="n"/>
      <c r="U31" s="28" t="n"/>
      <c r="V31" s="27" t="n"/>
    </row>
    <row r="32">
      <c r="A32" s="27" t="n"/>
      <c r="B32" s="28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>
        <f>IF(COUNTA(H32:L32)&gt;0,SUM(H32:L32),"")</f>
        <v/>
      </c>
      <c r="N32" s="29" t="n"/>
      <c r="O32" s="29" t="n"/>
      <c r="P32" s="29">
        <f>IF(N32="","",N32-O32)</f>
        <v/>
      </c>
      <c r="Q32" s="27" t="n"/>
      <c r="R32" s="27" t="n"/>
      <c r="S32" s="28" t="n"/>
      <c r="T32" s="28" t="n"/>
      <c r="U32" s="28" t="n"/>
      <c r="V32" s="27" t="n"/>
    </row>
    <row r="33">
      <c r="A33" s="27" t="n"/>
      <c r="B33" s="28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>
        <f>IF(COUNTA(H33:L33)&gt;0,SUM(H33:L33),"")</f>
        <v/>
      </c>
      <c r="N33" s="29" t="n"/>
      <c r="O33" s="29" t="n"/>
      <c r="P33" s="29">
        <f>IF(N33="","",N33-O33)</f>
        <v/>
      </c>
      <c r="Q33" s="27" t="n"/>
      <c r="R33" s="27" t="n"/>
      <c r="S33" s="28" t="n"/>
      <c r="T33" s="28" t="n"/>
      <c r="U33" s="28" t="n"/>
      <c r="V33" s="27" t="n"/>
    </row>
    <row r="34">
      <c r="A34" s="27" t="n"/>
      <c r="B34" s="28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>
        <f>IF(COUNTA(H34:L34)&gt;0,SUM(H34:L34),"")</f>
        <v/>
      </c>
      <c r="N34" s="29" t="n"/>
      <c r="O34" s="29" t="n"/>
      <c r="P34" s="29">
        <f>IF(N34="","",N34-O34)</f>
        <v/>
      </c>
      <c r="Q34" s="27" t="n"/>
      <c r="R34" s="27" t="n"/>
      <c r="S34" s="28" t="n"/>
      <c r="T34" s="28" t="n"/>
      <c r="U34" s="28" t="n"/>
      <c r="V34" s="27" t="n"/>
    </row>
    <row r="35">
      <c r="A35" s="27" t="n"/>
      <c r="B35" s="28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>
        <f>IF(COUNTA(H35:L35)&gt;0,SUM(H35:L35),"")</f>
        <v/>
      </c>
      <c r="N35" s="29" t="n"/>
      <c r="O35" s="29" t="n"/>
      <c r="P35" s="29">
        <f>IF(N35="","",N35-O35)</f>
        <v/>
      </c>
      <c r="Q35" s="27" t="n"/>
      <c r="R35" s="27" t="n"/>
      <c r="S35" s="28" t="n"/>
      <c r="T35" s="28" t="n"/>
      <c r="U35" s="28" t="n"/>
      <c r="V35" s="27" t="n"/>
    </row>
    <row r="36">
      <c r="A36" s="27" t="n"/>
      <c r="B36" s="28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>
        <f>IF(COUNTA(H36:L36)&gt;0,SUM(H36:L36),"")</f>
        <v/>
      </c>
      <c r="N36" s="29" t="n"/>
      <c r="O36" s="29" t="n"/>
      <c r="P36" s="29">
        <f>IF(N36="","",N36-O36)</f>
        <v/>
      </c>
      <c r="Q36" s="27" t="n"/>
      <c r="R36" s="27" t="n"/>
      <c r="S36" s="28" t="n"/>
      <c r="T36" s="28" t="n"/>
      <c r="U36" s="28" t="n"/>
      <c r="V36" s="27" t="n"/>
    </row>
    <row r="37">
      <c r="A37" s="27" t="n"/>
      <c r="B37" s="28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>
        <f>IF(COUNTA(H37:L37)&gt;0,SUM(H37:L37),"")</f>
        <v/>
      </c>
      <c r="N37" s="29" t="n"/>
      <c r="O37" s="29" t="n"/>
      <c r="P37" s="29">
        <f>IF(N37="","",N37-O37)</f>
        <v/>
      </c>
      <c r="Q37" s="27" t="n"/>
      <c r="R37" s="27" t="n"/>
      <c r="S37" s="28" t="n"/>
      <c r="T37" s="28" t="n"/>
      <c r="U37" s="28" t="n"/>
      <c r="V37" s="27" t="n"/>
    </row>
    <row r="38">
      <c r="A38" s="27" t="n"/>
      <c r="B38" s="28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>
        <f>IF(COUNTA(H38:L38)&gt;0,SUM(H38:L38),"")</f>
        <v/>
      </c>
      <c r="N38" s="29" t="n"/>
      <c r="O38" s="29" t="n"/>
      <c r="P38" s="29">
        <f>IF(N38="","",N38-O38)</f>
        <v/>
      </c>
      <c r="Q38" s="27" t="n"/>
      <c r="R38" s="27" t="n"/>
      <c r="S38" s="28" t="n"/>
      <c r="T38" s="28" t="n"/>
      <c r="U38" s="28" t="n"/>
      <c r="V38" s="27" t="n"/>
    </row>
    <row r="39">
      <c r="A39" s="27" t="n"/>
      <c r="B39" s="28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>
        <f>IF(COUNTA(H39:L39)&gt;0,SUM(H39:L39),"")</f>
        <v/>
      </c>
      <c r="N39" s="29" t="n"/>
      <c r="O39" s="29" t="n"/>
      <c r="P39" s="29">
        <f>IF(N39="","",N39-O39)</f>
        <v/>
      </c>
      <c r="Q39" s="27" t="n"/>
      <c r="R39" s="27" t="n"/>
      <c r="S39" s="28" t="n"/>
      <c r="T39" s="28" t="n"/>
      <c r="U39" s="28" t="n"/>
      <c r="V39" s="27" t="n"/>
    </row>
    <row r="40">
      <c r="A40" s="27" t="n"/>
      <c r="B40" s="28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>
        <f>IF(COUNTA(H40:L40)&gt;0,SUM(H40:L40),"")</f>
        <v/>
      </c>
      <c r="N40" s="29" t="n"/>
      <c r="O40" s="29" t="n"/>
      <c r="P40" s="29">
        <f>IF(N40="","",N40-O40)</f>
        <v/>
      </c>
      <c r="Q40" s="27" t="n"/>
      <c r="R40" s="27" t="n"/>
      <c r="S40" s="28" t="n"/>
      <c r="T40" s="28" t="n"/>
      <c r="U40" s="28" t="n"/>
      <c r="V40" s="27" t="n"/>
    </row>
    <row r="41">
      <c r="A41" s="27" t="n"/>
      <c r="B41" s="28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>
        <f>IF(COUNTA(H41:L41)&gt;0,SUM(H41:L41),"")</f>
        <v/>
      </c>
      <c r="N41" s="29" t="n"/>
      <c r="O41" s="29" t="n"/>
      <c r="P41" s="29">
        <f>IF(N41="","",N41-O41)</f>
        <v/>
      </c>
      <c r="Q41" s="27" t="n"/>
      <c r="R41" s="27" t="n"/>
      <c r="S41" s="28" t="n"/>
      <c r="T41" s="28" t="n"/>
      <c r="U41" s="28" t="n"/>
      <c r="V41" s="27" t="n"/>
    </row>
    <row r="42">
      <c r="A42" s="27" t="n"/>
      <c r="B42" s="28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>
        <f>IF(COUNTA(H42:L42)&gt;0,SUM(H42:L42),"")</f>
        <v/>
      </c>
      <c r="N42" s="29" t="n"/>
      <c r="O42" s="29" t="n"/>
      <c r="P42" s="29">
        <f>IF(N42="","",N42-O42)</f>
        <v/>
      </c>
      <c r="Q42" s="27" t="n"/>
      <c r="R42" s="27" t="n"/>
      <c r="S42" s="28" t="n"/>
      <c r="T42" s="28" t="n"/>
      <c r="U42" s="28" t="n"/>
      <c r="V42" s="27" t="n"/>
    </row>
    <row r="43">
      <c r="A43" s="27" t="n"/>
      <c r="B43" s="28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>
        <f>IF(COUNTA(H43:L43)&gt;0,SUM(H43:L43),"")</f>
        <v/>
      </c>
      <c r="N43" s="29" t="n"/>
      <c r="O43" s="29" t="n"/>
      <c r="P43" s="29">
        <f>IF(N43="","",N43-O43)</f>
        <v/>
      </c>
      <c r="Q43" s="27" t="n"/>
      <c r="R43" s="27" t="n"/>
      <c r="S43" s="28" t="n"/>
      <c r="T43" s="28" t="n"/>
      <c r="U43" s="28" t="n"/>
      <c r="V43" s="27" t="n"/>
    </row>
    <row r="44">
      <c r="A44" s="27" t="n"/>
      <c r="B44" s="28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>
        <f>IF(COUNTA(H44:L44)&gt;0,SUM(H44:L44),"")</f>
        <v/>
      </c>
      <c r="N44" s="29" t="n"/>
      <c r="O44" s="29" t="n"/>
      <c r="P44" s="29">
        <f>IF(N44="","",N44-O44)</f>
        <v/>
      </c>
      <c r="Q44" s="27" t="n"/>
      <c r="R44" s="27" t="n"/>
      <c r="S44" s="28" t="n"/>
      <c r="T44" s="28" t="n"/>
      <c r="U44" s="28" t="n"/>
      <c r="V44" s="27" t="n"/>
    </row>
    <row r="45">
      <c r="A45" s="27" t="n"/>
      <c r="B45" s="28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>
        <f>IF(COUNTA(H45:L45)&gt;0,SUM(H45:L45),"")</f>
        <v/>
      </c>
      <c r="N45" s="29" t="n"/>
      <c r="O45" s="29" t="n"/>
      <c r="P45" s="29">
        <f>IF(N45="","",N45-O45)</f>
        <v/>
      </c>
      <c r="Q45" s="27" t="n"/>
      <c r="R45" s="27" t="n"/>
      <c r="S45" s="28" t="n"/>
      <c r="T45" s="28" t="n"/>
      <c r="U45" s="28" t="n"/>
      <c r="V45" s="27" t="n"/>
    </row>
    <row r="46">
      <c r="A46" s="27" t="n"/>
      <c r="B46" s="28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>
        <f>IF(COUNTA(H46:L46)&gt;0,SUM(H46:L46),"")</f>
        <v/>
      </c>
      <c r="N46" s="29" t="n"/>
      <c r="O46" s="29" t="n"/>
      <c r="P46" s="29">
        <f>IF(N46="","",N46-O46)</f>
        <v/>
      </c>
      <c r="Q46" s="27" t="n"/>
      <c r="R46" s="27" t="n"/>
      <c r="S46" s="28" t="n"/>
      <c r="T46" s="28" t="n"/>
      <c r="U46" s="28" t="n"/>
      <c r="V46" s="27" t="n"/>
    </row>
    <row r="47">
      <c r="A47" s="27" t="n"/>
      <c r="B47" s="28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>
        <f>IF(COUNTA(H47:L47)&gt;0,SUM(H47:L47),"")</f>
        <v/>
      </c>
      <c r="N47" s="29" t="n"/>
      <c r="O47" s="29" t="n"/>
      <c r="P47" s="29">
        <f>IF(N47="","",N47-O47)</f>
        <v/>
      </c>
      <c r="Q47" s="27" t="n"/>
      <c r="R47" s="27" t="n"/>
      <c r="S47" s="28" t="n"/>
      <c r="T47" s="28" t="n"/>
      <c r="U47" s="28" t="n"/>
      <c r="V47" s="27" t="n"/>
    </row>
    <row r="48">
      <c r="A48" s="27" t="n"/>
      <c r="B48" s="28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>
        <f>IF(COUNTA(H48:L48)&gt;0,SUM(H48:L48),"")</f>
        <v/>
      </c>
      <c r="N48" s="29" t="n"/>
      <c r="O48" s="29" t="n"/>
      <c r="P48" s="29">
        <f>IF(N48="","",N48-O48)</f>
        <v/>
      </c>
      <c r="Q48" s="27" t="n"/>
      <c r="R48" s="27" t="n"/>
      <c r="S48" s="28" t="n"/>
      <c r="T48" s="28" t="n"/>
      <c r="U48" s="28" t="n"/>
      <c r="V48" s="27" t="n"/>
    </row>
    <row r="49">
      <c r="A49" s="27" t="n"/>
      <c r="B49" s="28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>
        <f>IF(COUNTA(H49:L49)&gt;0,SUM(H49:L49),"")</f>
        <v/>
      </c>
      <c r="N49" s="29" t="n"/>
      <c r="O49" s="29" t="n"/>
      <c r="P49" s="29">
        <f>IF(N49="","",N49-O49)</f>
        <v/>
      </c>
      <c r="Q49" s="27" t="n"/>
      <c r="R49" s="27" t="n"/>
      <c r="S49" s="28" t="n"/>
      <c r="T49" s="28" t="n"/>
      <c r="U49" s="28" t="n"/>
      <c r="V49" s="27" t="n"/>
    </row>
    <row r="50">
      <c r="A50" s="27" t="n"/>
      <c r="B50" s="28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>
        <f>IF(COUNTA(H50:L50)&gt;0,SUM(H50:L50),"")</f>
        <v/>
      </c>
      <c r="N50" s="29" t="n"/>
      <c r="O50" s="29" t="n"/>
      <c r="P50" s="29">
        <f>IF(N50="","",N50-O50)</f>
        <v/>
      </c>
      <c r="Q50" s="27" t="n"/>
      <c r="R50" s="27" t="n"/>
      <c r="S50" s="28" t="n"/>
      <c r="T50" s="28" t="n"/>
      <c r="U50" s="28" t="n"/>
      <c r="V50" s="27" t="n"/>
    </row>
    <row r="51">
      <c r="A51" s="27" t="n"/>
      <c r="B51" s="28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>
        <f>IF(COUNTA(H51:L51)&gt;0,SUM(H51:L51),"")</f>
        <v/>
      </c>
      <c r="N51" s="29" t="n"/>
      <c r="O51" s="29" t="n"/>
      <c r="P51" s="29">
        <f>IF(N51="","",N51-O51)</f>
        <v/>
      </c>
      <c r="Q51" s="27" t="n"/>
      <c r="R51" s="27" t="n"/>
      <c r="S51" s="28" t="n"/>
      <c r="T51" s="28" t="n"/>
      <c r="U51" s="28" t="n"/>
      <c r="V51" s="27" t="n"/>
    </row>
    <row r="52">
      <c r="A52" s="27" t="n"/>
      <c r="B52" s="28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>
        <f>IF(COUNTA(H52:L52)&gt;0,SUM(H52:L52),"")</f>
        <v/>
      </c>
      <c r="N52" s="29" t="n"/>
      <c r="O52" s="29" t="n"/>
      <c r="P52" s="29">
        <f>IF(N52="","",N52-O52)</f>
        <v/>
      </c>
      <c r="Q52" s="27" t="n"/>
      <c r="R52" s="27" t="n"/>
      <c r="S52" s="28" t="n"/>
      <c r="T52" s="28" t="n"/>
      <c r="U52" s="28" t="n"/>
      <c r="V52" s="27" t="n"/>
    </row>
    <row r="53">
      <c r="A53" s="27" t="n"/>
      <c r="B53" s="28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>
        <f>IF(COUNTA(H53:L53)&gt;0,SUM(H53:L53),"")</f>
        <v/>
      </c>
      <c r="N53" s="29" t="n"/>
      <c r="O53" s="29" t="n"/>
      <c r="P53" s="29">
        <f>IF(N53="","",N53-O53)</f>
        <v/>
      </c>
      <c r="Q53" s="27" t="n"/>
      <c r="R53" s="27" t="n"/>
      <c r="S53" s="28" t="n"/>
      <c r="T53" s="28" t="n"/>
      <c r="U53" s="28" t="n"/>
      <c r="V53" s="27" t="n"/>
    </row>
    <row r="54">
      <c r="A54" s="27" t="n"/>
      <c r="B54" s="28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>
        <f>IF(COUNTA(H54:L54)&gt;0,SUM(H54:L54),"")</f>
        <v/>
      </c>
      <c r="N54" s="29" t="n"/>
      <c r="O54" s="29" t="n"/>
      <c r="P54" s="29">
        <f>IF(N54="","",N54-O54)</f>
        <v/>
      </c>
      <c r="Q54" s="27" t="n"/>
      <c r="R54" s="27" t="n"/>
      <c r="S54" s="28" t="n"/>
      <c r="T54" s="28" t="n"/>
      <c r="U54" s="28" t="n"/>
      <c r="V54" s="27" t="n"/>
    </row>
    <row r="55">
      <c r="A55" s="27" t="n"/>
      <c r="B55" s="28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>
        <f>IF(COUNTA(H55:L55)&gt;0,SUM(H55:L55),"")</f>
        <v/>
      </c>
      <c r="N55" s="29" t="n"/>
      <c r="O55" s="29" t="n"/>
      <c r="P55" s="29">
        <f>IF(N55="","",N55-O55)</f>
        <v/>
      </c>
      <c r="Q55" s="27" t="n"/>
      <c r="R55" s="27" t="n"/>
      <c r="S55" s="28" t="n"/>
      <c r="T55" s="28" t="n"/>
      <c r="U55" s="28" t="n"/>
      <c r="V55" s="27" t="n"/>
    </row>
    <row r="56">
      <c r="A56" s="27" t="n"/>
      <c r="B56" s="28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>
        <f>IF(COUNTA(H56:L56)&gt;0,SUM(H56:L56),"")</f>
        <v/>
      </c>
      <c r="N56" s="29" t="n"/>
      <c r="O56" s="29" t="n"/>
      <c r="P56" s="29">
        <f>IF(N56="","",N56-O56)</f>
        <v/>
      </c>
      <c r="Q56" s="27" t="n"/>
      <c r="R56" s="27" t="n"/>
      <c r="S56" s="28" t="n"/>
      <c r="T56" s="28" t="n"/>
      <c r="U56" s="28" t="n"/>
      <c r="V56" s="27" t="n"/>
    </row>
    <row r="57">
      <c r="A57" s="27" t="n"/>
      <c r="B57" s="28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>
        <f>IF(COUNTA(H57:L57)&gt;0,SUM(H57:L57),"")</f>
        <v/>
      </c>
      <c r="N57" s="29" t="n"/>
      <c r="O57" s="29" t="n"/>
      <c r="P57" s="29">
        <f>IF(N57="","",N57-O57)</f>
        <v/>
      </c>
      <c r="Q57" s="27" t="n"/>
      <c r="R57" s="27" t="n"/>
      <c r="S57" s="28" t="n"/>
      <c r="T57" s="28" t="n"/>
      <c r="U57" s="28" t="n"/>
      <c r="V57" s="27" t="n"/>
    </row>
    <row r="58">
      <c r="A58" s="27" t="n"/>
      <c r="B58" s="28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>
        <f>IF(COUNTA(H58:L58)&gt;0,SUM(H58:L58),"")</f>
        <v/>
      </c>
      <c r="N58" s="29" t="n"/>
      <c r="O58" s="29" t="n"/>
      <c r="P58" s="29">
        <f>IF(N58="","",N58-O58)</f>
        <v/>
      </c>
      <c r="Q58" s="27" t="n"/>
      <c r="R58" s="27" t="n"/>
      <c r="S58" s="28" t="n"/>
      <c r="T58" s="28" t="n"/>
      <c r="U58" s="28" t="n"/>
      <c r="V58" s="27" t="n"/>
    </row>
    <row r="59">
      <c r="A59" s="27" t="n"/>
      <c r="B59" s="28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>
        <f>IF(COUNTA(H59:L59)&gt;0,SUM(H59:L59),"")</f>
        <v/>
      </c>
      <c r="N59" s="29" t="n"/>
      <c r="O59" s="29" t="n"/>
      <c r="P59" s="29">
        <f>IF(N59="","",N59-O59)</f>
        <v/>
      </c>
      <c r="Q59" s="27" t="n"/>
      <c r="R59" s="27" t="n"/>
      <c r="S59" s="28" t="n"/>
      <c r="T59" s="28" t="n"/>
      <c r="U59" s="28" t="n"/>
      <c r="V59" s="27" t="n"/>
    </row>
    <row r="60">
      <c r="A60" s="27" t="n"/>
      <c r="B60" s="28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>
        <f>IF(COUNTA(H60:L60)&gt;0,SUM(H60:L60),"")</f>
        <v/>
      </c>
      <c r="N60" s="29" t="n"/>
      <c r="O60" s="29" t="n"/>
      <c r="P60" s="29">
        <f>IF(N60="","",N60-O60)</f>
        <v/>
      </c>
      <c r="Q60" s="27" t="n"/>
      <c r="R60" s="27" t="n"/>
      <c r="S60" s="28" t="n"/>
      <c r="T60" s="28" t="n"/>
      <c r="U60" s="28" t="n"/>
      <c r="V60" s="27" t="n"/>
    </row>
    <row r="61">
      <c r="A61" s="27" t="n"/>
      <c r="B61" s="28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>
        <f>IF(COUNTA(H61:L61)&gt;0,SUM(H61:L61),"")</f>
        <v/>
      </c>
      <c r="N61" s="29" t="n"/>
      <c r="O61" s="29" t="n"/>
      <c r="P61" s="29">
        <f>IF(N61="","",N61-O61)</f>
        <v/>
      </c>
      <c r="Q61" s="27" t="n"/>
      <c r="R61" s="27" t="n"/>
      <c r="S61" s="28" t="n"/>
      <c r="T61" s="28" t="n"/>
      <c r="U61" s="28" t="n"/>
      <c r="V61" s="27" t="n"/>
    </row>
    <row r="62">
      <c r="A62" s="27" t="n"/>
      <c r="B62" s="28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>
        <f>IF(COUNTA(H62:L62)&gt;0,SUM(H62:L62),"")</f>
        <v/>
      </c>
      <c r="N62" s="29" t="n"/>
      <c r="O62" s="29" t="n"/>
      <c r="P62" s="29">
        <f>IF(N62="","",N62-O62)</f>
        <v/>
      </c>
      <c r="Q62" s="27" t="n"/>
      <c r="R62" s="27" t="n"/>
      <c r="S62" s="28" t="n"/>
      <c r="T62" s="28" t="n"/>
      <c r="U62" s="28" t="n"/>
      <c r="V62" s="27" t="n"/>
    </row>
    <row r="63">
      <c r="A63" s="27" t="n"/>
      <c r="B63" s="28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>
        <f>IF(COUNTA(H63:L63)&gt;0,SUM(H63:L63),"")</f>
        <v/>
      </c>
      <c r="N63" s="29" t="n"/>
      <c r="O63" s="29" t="n"/>
      <c r="P63" s="29">
        <f>IF(N63="","",N63-O63)</f>
        <v/>
      </c>
      <c r="Q63" s="27" t="n"/>
      <c r="R63" s="27" t="n"/>
      <c r="S63" s="28" t="n"/>
      <c r="T63" s="28" t="n"/>
      <c r="U63" s="28" t="n"/>
      <c r="V63" s="27" t="n"/>
    </row>
    <row r="64">
      <c r="A64" s="27" t="n"/>
      <c r="B64" s="28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>
        <f>IF(COUNTA(H64:L64)&gt;0,SUM(H64:L64),"")</f>
        <v/>
      </c>
      <c r="N64" s="29" t="n"/>
      <c r="O64" s="29" t="n"/>
      <c r="P64" s="29">
        <f>IF(N64="","",N64-O64)</f>
        <v/>
      </c>
      <c r="Q64" s="27" t="n"/>
      <c r="R64" s="27" t="n"/>
      <c r="S64" s="28" t="n"/>
      <c r="T64" s="28" t="n"/>
      <c r="U64" s="28" t="n"/>
      <c r="V64" s="27" t="n"/>
    </row>
    <row r="65">
      <c r="A65" s="27" t="n"/>
      <c r="B65" s="28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>
        <f>IF(COUNTA(H65:L65)&gt;0,SUM(H65:L65),"")</f>
        <v/>
      </c>
      <c r="N65" s="29" t="n"/>
      <c r="O65" s="29" t="n"/>
      <c r="P65" s="29">
        <f>IF(N65="","",N65-O65)</f>
        <v/>
      </c>
      <c r="Q65" s="27" t="n"/>
      <c r="R65" s="27" t="n"/>
      <c r="S65" s="28" t="n"/>
      <c r="T65" s="28" t="n"/>
      <c r="U65" s="28" t="n"/>
      <c r="V65" s="27" t="n"/>
    </row>
    <row r="66">
      <c r="A66" s="27" t="n"/>
      <c r="B66" s="28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>
        <f>IF(COUNTA(H66:L66)&gt;0,SUM(H66:L66),"")</f>
        <v/>
      </c>
      <c r="N66" s="29" t="n"/>
      <c r="O66" s="29" t="n"/>
      <c r="P66" s="29">
        <f>IF(N66="","",N66-O66)</f>
        <v/>
      </c>
      <c r="Q66" s="27" t="n"/>
      <c r="R66" s="27" t="n"/>
      <c r="S66" s="28" t="n"/>
      <c r="T66" s="28" t="n"/>
      <c r="U66" s="28" t="n"/>
      <c r="V66" s="27" t="n"/>
    </row>
    <row r="67">
      <c r="A67" s="27" t="n"/>
      <c r="B67" s="28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>
        <f>IF(COUNTA(H67:L67)&gt;0,SUM(H67:L67),"")</f>
        <v/>
      </c>
      <c r="N67" s="29" t="n"/>
      <c r="O67" s="29" t="n"/>
      <c r="P67" s="29">
        <f>IF(N67="","",N67-O67)</f>
        <v/>
      </c>
      <c r="Q67" s="27" t="n"/>
      <c r="R67" s="27" t="n"/>
      <c r="S67" s="28" t="n"/>
      <c r="T67" s="28" t="n"/>
      <c r="U67" s="28" t="n"/>
      <c r="V67" s="27" t="n"/>
    </row>
    <row r="68">
      <c r="A68" s="27" t="n"/>
      <c r="B68" s="28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>
        <f>IF(COUNTA(H68:L68)&gt;0,SUM(H68:L68),"")</f>
        <v/>
      </c>
      <c r="N68" s="29" t="n"/>
      <c r="O68" s="29" t="n"/>
      <c r="P68" s="29">
        <f>IF(N68="","",N68-O68)</f>
        <v/>
      </c>
      <c r="Q68" s="27" t="n"/>
      <c r="R68" s="27" t="n"/>
      <c r="S68" s="28" t="n"/>
      <c r="T68" s="28" t="n"/>
      <c r="U68" s="28" t="n"/>
      <c r="V68" s="27" t="n"/>
    </row>
    <row r="69">
      <c r="A69" s="27" t="n"/>
      <c r="B69" s="28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>
        <f>IF(COUNTA(H69:L69)&gt;0,SUM(H69:L69),"")</f>
        <v/>
      </c>
      <c r="N69" s="29" t="n"/>
      <c r="O69" s="29" t="n"/>
      <c r="P69" s="29">
        <f>IF(N69="","",N69-O69)</f>
        <v/>
      </c>
      <c r="Q69" s="27" t="n"/>
      <c r="R69" s="27" t="n"/>
      <c r="S69" s="28" t="n"/>
      <c r="T69" s="28" t="n"/>
      <c r="U69" s="28" t="n"/>
      <c r="V69" s="27" t="n"/>
    </row>
    <row r="70">
      <c r="A70" s="27" t="n"/>
      <c r="B70" s="28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>
        <f>IF(COUNTA(H70:L70)&gt;0,SUM(H70:L70),"")</f>
        <v/>
      </c>
      <c r="N70" s="29" t="n"/>
      <c r="O70" s="29" t="n"/>
      <c r="P70" s="29">
        <f>IF(N70="","",N70-O70)</f>
        <v/>
      </c>
      <c r="Q70" s="27" t="n"/>
      <c r="R70" s="27" t="n"/>
      <c r="S70" s="28" t="n"/>
      <c r="T70" s="28" t="n"/>
      <c r="U70" s="28" t="n"/>
      <c r="V70" s="27" t="n"/>
    </row>
    <row r="71">
      <c r="A71" s="27" t="n"/>
      <c r="B71" s="28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>
        <f>IF(COUNTA(H71:L71)&gt;0,SUM(H71:L71),"")</f>
        <v/>
      </c>
      <c r="N71" s="29" t="n"/>
      <c r="O71" s="29" t="n"/>
      <c r="P71" s="29">
        <f>IF(N71="","",N71-O71)</f>
        <v/>
      </c>
      <c r="Q71" s="27" t="n"/>
      <c r="R71" s="27" t="n"/>
      <c r="S71" s="28" t="n"/>
      <c r="T71" s="28" t="n"/>
      <c r="U71" s="28" t="n"/>
      <c r="V71" s="27" t="n"/>
    </row>
    <row r="72">
      <c r="A72" s="27" t="n"/>
      <c r="B72" s="28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>
        <f>IF(COUNTA(H72:L72)&gt;0,SUM(H72:L72),"")</f>
        <v/>
      </c>
      <c r="N72" s="29" t="n"/>
      <c r="O72" s="29" t="n"/>
      <c r="P72" s="29">
        <f>IF(N72="","",N72-O72)</f>
        <v/>
      </c>
      <c r="Q72" s="27" t="n"/>
      <c r="R72" s="27" t="n"/>
      <c r="S72" s="28" t="n"/>
      <c r="T72" s="28" t="n"/>
      <c r="U72" s="28" t="n"/>
      <c r="V72" s="27" t="n"/>
    </row>
    <row r="73">
      <c r="A73" s="27" t="n"/>
      <c r="B73" s="28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>
        <f>IF(COUNTA(H73:L73)&gt;0,SUM(H73:L73),"")</f>
        <v/>
      </c>
      <c r="N73" s="29" t="n"/>
      <c r="O73" s="29" t="n"/>
      <c r="P73" s="29">
        <f>IF(N73="","",N73-O73)</f>
        <v/>
      </c>
      <c r="Q73" s="27" t="n"/>
      <c r="R73" s="27" t="n"/>
      <c r="S73" s="28" t="n"/>
      <c r="T73" s="28" t="n"/>
      <c r="U73" s="28" t="n"/>
      <c r="V73" s="27" t="n"/>
    </row>
    <row r="74">
      <c r="A74" s="27" t="n"/>
      <c r="B74" s="28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>
        <f>IF(COUNTA(H74:L74)&gt;0,SUM(H74:L74),"")</f>
        <v/>
      </c>
      <c r="N74" s="29" t="n"/>
      <c r="O74" s="29" t="n"/>
      <c r="P74" s="29">
        <f>IF(N74="","",N74-O74)</f>
        <v/>
      </c>
      <c r="Q74" s="27" t="n"/>
      <c r="R74" s="27" t="n"/>
      <c r="S74" s="28" t="n"/>
      <c r="T74" s="28" t="n"/>
      <c r="U74" s="28" t="n"/>
      <c r="V74" s="27" t="n"/>
    </row>
    <row r="75">
      <c r="A75" s="27" t="n"/>
      <c r="B75" s="28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>
        <f>IF(COUNTA(H75:L75)&gt;0,SUM(H75:L75),"")</f>
        <v/>
      </c>
      <c r="N75" s="29" t="n"/>
      <c r="O75" s="29" t="n"/>
      <c r="P75" s="29">
        <f>IF(N75="","",N75-O75)</f>
        <v/>
      </c>
      <c r="Q75" s="27" t="n"/>
      <c r="R75" s="27" t="n"/>
      <c r="S75" s="28" t="n"/>
      <c r="T75" s="28" t="n"/>
      <c r="U75" s="28" t="n"/>
      <c r="V75" s="27" t="n"/>
    </row>
    <row r="76">
      <c r="A76" s="27" t="n"/>
      <c r="B76" s="28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>
        <f>IF(COUNTA(H76:L76)&gt;0,SUM(H76:L76),"")</f>
        <v/>
      </c>
      <c r="N76" s="29" t="n"/>
      <c r="O76" s="29" t="n"/>
      <c r="P76" s="29">
        <f>IF(N76="","",N76-O76)</f>
        <v/>
      </c>
      <c r="Q76" s="27" t="n"/>
      <c r="R76" s="27" t="n"/>
      <c r="S76" s="28" t="n"/>
      <c r="T76" s="28" t="n"/>
      <c r="U76" s="28" t="n"/>
      <c r="V76" s="27" t="n"/>
    </row>
    <row r="77">
      <c r="A77" s="27" t="n"/>
      <c r="B77" s="28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>
        <f>IF(COUNTA(H77:L77)&gt;0,SUM(H77:L77),"")</f>
        <v/>
      </c>
      <c r="N77" s="29" t="n"/>
      <c r="O77" s="29" t="n"/>
      <c r="P77" s="29">
        <f>IF(N77="","",N77-O77)</f>
        <v/>
      </c>
      <c r="Q77" s="27" t="n"/>
      <c r="R77" s="27" t="n"/>
      <c r="S77" s="28" t="n"/>
      <c r="T77" s="28" t="n"/>
      <c r="U77" s="28" t="n"/>
      <c r="V77" s="27" t="n"/>
    </row>
    <row r="78">
      <c r="A78" s="27" t="n"/>
      <c r="B78" s="28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>
        <f>IF(COUNTA(H78:L78)&gt;0,SUM(H78:L78),"")</f>
        <v/>
      </c>
      <c r="N78" s="29" t="n"/>
      <c r="O78" s="29" t="n"/>
      <c r="P78" s="29">
        <f>IF(N78="","",N78-O78)</f>
        <v/>
      </c>
      <c r="Q78" s="27" t="n"/>
      <c r="R78" s="27" t="n"/>
      <c r="S78" s="28" t="n"/>
      <c r="T78" s="28" t="n"/>
      <c r="U78" s="28" t="n"/>
      <c r="V78" s="27" t="n"/>
    </row>
    <row r="79">
      <c r="A79" s="27" t="n"/>
      <c r="B79" s="28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>
        <f>IF(COUNTA(H79:L79)&gt;0,SUM(H79:L79),"")</f>
        <v/>
      </c>
      <c r="N79" s="29" t="n"/>
      <c r="O79" s="29" t="n"/>
      <c r="P79" s="29">
        <f>IF(N79="","",N79-O79)</f>
        <v/>
      </c>
      <c r="Q79" s="27" t="n"/>
      <c r="R79" s="27" t="n"/>
      <c r="S79" s="28" t="n"/>
      <c r="T79" s="28" t="n"/>
      <c r="U79" s="28" t="n"/>
      <c r="V79" s="27" t="n"/>
    </row>
    <row r="80">
      <c r="A80" s="27" t="n"/>
      <c r="B80" s="28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>
        <f>IF(COUNTA(H80:L80)&gt;0,SUM(H80:L80),"")</f>
        <v/>
      </c>
      <c r="N80" s="29" t="n"/>
      <c r="O80" s="29" t="n"/>
      <c r="P80" s="29">
        <f>IF(N80="","",N80-O80)</f>
        <v/>
      </c>
      <c r="Q80" s="27" t="n"/>
      <c r="R80" s="27" t="n"/>
      <c r="S80" s="28" t="n"/>
      <c r="T80" s="28" t="n"/>
      <c r="U80" s="28" t="n"/>
      <c r="V80" s="27" t="n"/>
    </row>
    <row r="81">
      <c r="A81" s="27" t="n"/>
      <c r="B81" s="28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>
        <f>IF(COUNTA(H81:L81)&gt;0,SUM(H81:L81),"")</f>
        <v/>
      </c>
      <c r="N81" s="29" t="n"/>
      <c r="O81" s="29" t="n"/>
      <c r="P81" s="29">
        <f>IF(N81="","",N81-O81)</f>
        <v/>
      </c>
      <c r="Q81" s="27" t="n"/>
      <c r="R81" s="27" t="n"/>
      <c r="S81" s="28" t="n"/>
      <c r="T81" s="28" t="n"/>
      <c r="U81" s="28" t="n"/>
      <c r="V81" s="27" t="n"/>
    </row>
    <row r="82">
      <c r="A82" s="27" t="n"/>
      <c r="B82" s="28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>
        <f>IF(COUNTA(H82:L82)&gt;0,SUM(H82:L82),"")</f>
        <v/>
      </c>
      <c r="N82" s="29" t="n"/>
      <c r="O82" s="29" t="n"/>
      <c r="P82" s="29">
        <f>IF(N82="","",N82-O82)</f>
        <v/>
      </c>
      <c r="Q82" s="27" t="n"/>
      <c r="R82" s="27" t="n"/>
      <c r="S82" s="28" t="n"/>
      <c r="T82" s="28" t="n"/>
      <c r="U82" s="28" t="n"/>
      <c r="V82" s="27" t="n"/>
    </row>
    <row r="83">
      <c r="A83" s="27" t="n"/>
      <c r="B83" s="28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>
        <f>IF(COUNTA(H83:L83)&gt;0,SUM(H83:L83),"")</f>
        <v/>
      </c>
      <c r="N83" s="29" t="n"/>
      <c r="O83" s="29" t="n"/>
      <c r="P83" s="29">
        <f>IF(N83="","",N83-O83)</f>
        <v/>
      </c>
      <c r="Q83" s="27" t="n"/>
      <c r="R83" s="27" t="n"/>
      <c r="S83" s="28" t="n"/>
      <c r="T83" s="28" t="n"/>
      <c r="U83" s="28" t="n"/>
      <c r="V83" s="27" t="n"/>
    </row>
    <row r="84">
      <c r="A84" s="27" t="n"/>
      <c r="B84" s="28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>
        <f>IF(COUNTA(H84:L84)&gt;0,SUM(H84:L84),"")</f>
        <v/>
      </c>
      <c r="N84" s="29" t="n"/>
      <c r="O84" s="29" t="n"/>
      <c r="P84" s="29">
        <f>IF(N84="","",N84-O84)</f>
        <v/>
      </c>
      <c r="Q84" s="27" t="n"/>
      <c r="R84" s="27" t="n"/>
      <c r="S84" s="28" t="n"/>
      <c r="T84" s="28" t="n"/>
      <c r="U84" s="28" t="n"/>
      <c r="V84" s="27" t="n"/>
    </row>
    <row r="85">
      <c r="A85" s="27" t="n"/>
      <c r="B85" s="28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>
        <f>IF(COUNTA(H85:L85)&gt;0,SUM(H85:L85),"")</f>
        <v/>
      </c>
      <c r="N85" s="29" t="n"/>
      <c r="O85" s="29" t="n"/>
      <c r="P85" s="29">
        <f>IF(N85="","",N85-O85)</f>
        <v/>
      </c>
      <c r="Q85" s="27" t="n"/>
      <c r="R85" s="27" t="n"/>
      <c r="S85" s="28" t="n"/>
      <c r="T85" s="28" t="n"/>
      <c r="U85" s="28" t="n"/>
      <c r="V85" s="27" t="n"/>
    </row>
    <row r="86">
      <c r="A86" s="27" t="n"/>
      <c r="B86" s="28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>
        <f>IF(COUNTA(H86:L86)&gt;0,SUM(H86:L86),"")</f>
        <v/>
      </c>
      <c r="N86" s="29" t="n"/>
      <c r="O86" s="29" t="n"/>
      <c r="P86" s="29">
        <f>IF(N86="","",N86-O86)</f>
        <v/>
      </c>
      <c r="Q86" s="27" t="n"/>
      <c r="R86" s="27" t="n"/>
      <c r="S86" s="28" t="n"/>
      <c r="T86" s="28" t="n"/>
      <c r="U86" s="28" t="n"/>
      <c r="V86" s="27" t="n"/>
    </row>
    <row r="87">
      <c r="A87" s="27" t="n"/>
      <c r="B87" s="28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>
        <f>IF(COUNTA(H87:L87)&gt;0,SUM(H87:L87),"")</f>
        <v/>
      </c>
      <c r="N87" s="29" t="n"/>
      <c r="O87" s="29" t="n"/>
      <c r="P87" s="29">
        <f>IF(N87="","",N87-O87)</f>
        <v/>
      </c>
      <c r="Q87" s="27" t="n"/>
      <c r="R87" s="27" t="n"/>
      <c r="S87" s="28" t="n"/>
      <c r="T87" s="28" t="n"/>
      <c r="U87" s="28" t="n"/>
      <c r="V87" s="27" t="n"/>
    </row>
    <row r="88">
      <c r="A88" s="27" t="n"/>
      <c r="B88" s="28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>
        <f>IF(COUNTA(H88:L88)&gt;0,SUM(H88:L88),"")</f>
        <v/>
      </c>
      <c r="N88" s="29" t="n"/>
      <c r="O88" s="29" t="n"/>
      <c r="P88" s="29">
        <f>IF(N88="","",N88-O88)</f>
        <v/>
      </c>
      <c r="Q88" s="27" t="n"/>
      <c r="R88" s="27" t="n"/>
      <c r="S88" s="28" t="n"/>
      <c r="T88" s="28" t="n"/>
      <c r="U88" s="28" t="n"/>
      <c r="V88" s="27" t="n"/>
    </row>
    <row r="89">
      <c r="A89" s="27" t="n"/>
      <c r="B89" s="28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>
        <f>IF(COUNTA(H89:L89)&gt;0,SUM(H89:L89),"")</f>
        <v/>
      </c>
      <c r="N89" s="29" t="n"/>
      <c r="O89" s="29" t="n"/>
      <c r="P89" s="29">
        <f>IF(N89="","",N89-O89)</f>
        <v/>
      </c>
      <c r="Q89" s="27" t="n"/>
      <c r="R89" s="27" t="n"/>
      <c r="S89" s="28" t="n"/>
      <c r="T89" s="28" t="n"/>
      <c r="U89" s="28" t="n"/>
      <c r="V89" s="27" t="n"/>
    </row>
    <row r="90">
      <c r="A90" s="27" t="n"/>
      <c r="B90" s="28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>
        <f>IF(COUNTA(H90:L90)&gt;0,SUM(H90:L90),"")</f>
        <v/>
      </c>
      <c r="N90" s="29" t="n"/>
      <c r="O90" s="29" t="n"/>
      <c r="P90" s="29">
        <f>IF(N90="","",N90-O90)</f>
        <v/>
      </c>
      <c r="Q90" s="27" t="n"/>
      <c r="R90" s="27" t="n"/>
      <c r="S90" s="28" t="n"/>
      <c r="T90" s="28" t="n"/>
      <c r="U90" s="28" t="n"/>
      <c r="V90" s="27" t="n"/>
    </row>
    <row r="91">
      <c r="A91" s="27" t="n"/>
      <c r="B91" s="28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7">
        <f>IF(COUNTA(H91:L91)&gt;0,SUM(H91:L91),"")</f>
        <v/>
      </c>
      <c r="N91" s="29" t="n"/>
      <c r="O91" s="29" t="n"/>
      <c r="P91" s="29">
        <f>IF(N91="","",N91-O91)</f>
        <v/>
      </c>
      <c r="Q91" s="27" t="n"/>
      <c r="R91" s="27" t="n"/>
      <c r="S91" s="28" t="n"/>
      <c r="T91" s="28" t="n"/>
      <c r="U91" s="28" t="n"/>
      <c r="V91" s="27" t="n"/>
    </row>
    <row r="92">
      <c r="A92" s="27" t="n"/>
      <c r="B92" s="28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>
        <f>IF(COUNTA(H92:L92)&gt;0,SUM(H92:L92),"")</f>
        <v/>
      </c>
      <c r="N92" s="29" t="n"/>
      <c r="O92" s="29" t="n"/>
      <c r="P92" s="29">
        <f>IF(N92="","",N92-O92)</f>
        <v/>
      </c>
      <c r="Q92" s="27" t="n"/>
      <c r="R92" s="27" t="n"/>
      <c r="S92" s="28" t="n"/>
      <c r="T92" s="28" t="n"/>
      <c r="U92" s="28" t="n"/>
      <c r="V92" s="27" t="n"/>
    </row>
    <row r="93">
      <c r="A93" s="27" t="n"/>
      <c r="B93" s="28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>
        <f>IF(COUNTA(H93:L93)&gt;0,SUM(H93:L93),"")</f>
        <v/>
      </c>
      <c r="N93" s="29" t="n"/>
      <c r="O93" s="29" t="n"/>
      <c r="P93" s="29">
        <f>IF(N93="","",N93-O93)</f>
        <v/>
      </c>
      <c r="Q93" s="27" t="n"/>
      <c r="R93" s="27" t="n"/>
      <c r="S93" s="28" t="n"/>
      <c r="T93" s="28" t="n"/>
      <c r="U93" s="28" t="n"/>
      <c r="V93" s="27" t="n"/>
    </row>
    <row r="94">
      <c r="A94" s="27" t="n"/>
      <c r="B94" s="28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>
        <f>IF(COUNTA(H94:L94)&gt;0,SUM(H94:L94),"")</f>
        <v/>
      </c>
      <c r="N94" s="29" t="n"/>
      <c r="O94" s="29" t="n"/>
      <c r="P94" s="29">
        <f>IF(N94="","",N94-O94)</f>
        <v/>
      </c>
      <c r="Q94" s="27" t="n"/>
      <c r="R94" s="27" t="n"/>
      <c r="S94" s="28" t="n"/>
      <c r="T94" s="28" t="n"/>
      <c r="U94" s="28" t="n"/>
      <c r="V94" s="27" t="n"/>
    </row>
    <row r="95">
      <c r="A95" s="27" t="n"/>
      <c r="B95" s="28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>
        <f>IF(COUNTA(H95:L95)&gt;0,SUM(H95:L95),"")</f>
        <v/>
      </c>
      <c r="N95" s="29" t="n"/>
      <c r="O95" s="29" t="n"/>
      <c r="P95" s="29">
        <f>IF(N95="","",N95-O95)</f>
        <v/>
      </c>
      <c r="Q95" s="27" t="n"/>
      <c r="R95" s="27" t="n"/>
      <c r="S95" s="28" t="n"/>
      <c r="T95" s="28" t="n"/>
      <c r="U95" s="28" t="n"/>
      <c r="V95" s="27" t="n"/>
    </row>
    <row r="96">
      <c r="A96" s="27" t="n"/>
      <c r="B96" s="28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>
        <f>IF(COUNTA(H96:L96)&gt;0,SUM(H96:L96),"")</f>
        <v/>
      </c>
      <c r="N96" s="29" t="n"/>
      <c r="O96" s="29" t="n"/>
      <c r="P96" s="29">
        <f>IF(N96="","",N96-O96)</f>
        <v/>
      </c>
      <c r="Q96" s="27" t="n"/>
      <c r="R96" s="27" t="n"/>
      <c r="S96" s="28" t="n"/>
      <c r="T96" s="28" t="n"/>
      <c r="U96" s="28" t="n"/>
      <c r="V96" s="27" t="n"/>
    </row>
    <row r="97">
      <c r="A97" s="27" t="n"/>
      <c r="B97" s="28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>
        <f>IF(COUNTA(H97:L97)&gt;0,SUM(H97:L97),"")</f>
        <v/>
      </c>
      <c r="N97" s="29" t="n"/>
      <c r="O97" s="29" t="n"/>
      <c r="P97" s="29">
        <f>IF(N97="","",N97-O97)</f>
        <v/>
      </c>
      <c r="Q97" s="27" t="n"/>
      <c r="R97" s="27" t="n"/>
      <c r="S97" s="28" t="n"/>
      <c r="T97" s="28" t="n"/>
      <c r="U97" s="28" t="n"/>
      <c r="V97" s="27" t="n"/>
    </row>
    <row r="98">
      <c r="A98" s="27" t="n"/>
      <c r="B98" s="28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>
        <f>IF(COUNTA(H98:L98)&gt;0,SUM(H98:L98),"")</f>
        <v/>
      </c>
      <c r="N98" s="29" t="n"/>
      <c r="O98" s="29" t="n"/>
      <c r="P98" s="29">
        <f>IF(N98="","",N98-O98)</f>
        <v/>
      </c>
      <c r="Q98" s="27" t="n"/>
      <c r="R98" s="27" t="n"/>
      <c r="S98" s="28" t="n"/>
      <c r="T98" s="28" t="n"/>
      <c r="U98" s="28" t="n"/>
      <c r="V98" s="27" t="n"/>
    </row>
    <row r="99">
      <c r="A99" s="27" t="n"/>
      <c r="B99" s="28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>
        <f>IF(COUNTA(H99:L99)&gt;0,SUM(H99:L99),"")</f>
        <v/>
      </c>
      <c r="N99" s="29" t="n"/>
      <c r="O99" s="29" t="n"/>
      <c r="P99" s="29">
        <f>IF(N99="","",N99-O99)</f>
        <v/>
      </c>
      <c r="Q99" s="27" t="n"/>
      <c r="R99" s="27" t="n"/>
      <c r="S99" s="28" t="n"/>
      <c r="T99" s="28" t="n"/>
      <c r="U99" s="28" t="n"/>
      <c r="V99" s="27" t="n"/>
    </row>
    <row r="100">
      <c r="A100" s="27" t="n"/>
      <c r="B100" s="28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>
        <f>IF(COUNTA(H100:L100)&gt;0,SUM(H100:L100),"")</f>
        <v/>
      </c>
      <c r="N100" s="29" t="n"/>
      <c r="O100" s="29" t="n"/>
      <c r="P100" s="29">
        <f>IF(N100="","",N100-O100)</f>
        <v/>
      </c>
      <c r="Q100" s="27" t="n"/>
      <c r="R100" s="27" t="n"/>
      <c r="S100" s="28" t="n"/>
      <c r="T100" s="28" t="n"/>
      <c r="U100" s="28" t="n"/>
      <c r="V100" s="27" t="n"/>
    </row>
    <row r="101">
      <c r="A101" s="27" t="n"/>
      <c r="B101" s="28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>
        <f>IF(COUNTA(H101:L101)&gt;0,SUM(H101:L101),"")</f>
        <v/>
      </c>
      <c r="N101" s="29" t="n"/>
      <c r="O101" s="29" t="n"/>
      <c r="P101" s="29">
        <f>IF(N101="","",N101-O101)</f>
        <v/>
      </c>
      <c r="Q101" s="27" t="n"/>
      <c r="R101" s="27" t="n"/>
      <c r="S101" s="28" t="n"/>
      <c r="T101" s="28" t="n"/>
      <c r="U101" s="28" t="n"/>
      <c r="V101" s="27" t="n"/>
    </row>
    <row r="102">
      <c r="A102" s="27" t="n"/>
      <c r="B102" s="28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>
        <f>IF(COUNTA(H102:L102)&gt;0,SUM(H102:L102),"")</f>
        <v/>
      </c>
      <c r="N102" s="29" t="n"/>
      <c r="O102" s="29" t="n"/>
      <c r="P102" s="29">
        <f>IF(N102="","",N102-O102)</f>
        <v/>
      </c>
      <c r="Q102" s="27" t="n"/>
      <c r="R102" s="27" t="n"/>
      <c r="S102" s="28" t="n"/>
      <c r="T102" s="28" t="n"/>
      <c r="U102" s="28" t="n"/>
      <c r="V102" s="27" t="n"/>
    </row>
    <row r="103">
      <c r="A103" s="27" t="n"/>
      <c r="B103" s="28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>
        <f>IF(COUNTA(H103:L103)&gt;0,SUM(H103:L103),"")</f>
        <v/>
      </c>
      <c r="N103" s="29" t="n"/>
      <c r="O103" s="29" t="n"/>
      <c r="P103" s="29">
        <f>IF(N103="","",N103-O103)</f>
        <v/>
      </c>
      <c r="Q103" s="27" t="n"/>
      <c r="R103" s="27" t="n"/>
      <c r="S103" s="28" t="n"/>
      <c r="T103" s="28" t="n"/>
      <c r="U103" s="28" t="n"/>
      <c r="V103" s="27" t="n"/>
    </row>
    <row r="104">
      <c r="A104" s="27" t="n"/>
      <c r="B104" s="28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>
        <f>IF(COUNTA(H104:L104)&gt;0,SUM(H104:L104),"")</f>
        <v/>
      </c>
      <c r="N104" s="29" t="n"/>
      <c r="O104" s="29" t="n"/>
      <c r="P104" s="29">
        <f>IF(N104="","",N104-O104)</f>
        <v/>
      </c>
      <c r="Q104" s="27" t="n"/>
      <c r="R104" s="27" t="n"/>
      <c r="S104" s="28" t="n"/>
      <c r="T104" s="28" t="n"/>
      <c r="U104" s="28" t="n"/>
      <c r="V104" s="27" t="n"/>
    </row>
    <row r="105">
      <c r="A105" s="27" t="n"/>
      <c r="B105" s="28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>
        <f>IF(COUNTA(H105:L105)&gt;0,SUM(H105:L105),"")</f>
        <v/>
      </c>
      <c r="N105" s="29" t="n"/>
      <c r="O105" s="29" t="n"/>
      <c r="P105" s="29">
        <f>IF(N105="","",N105-O105)</f>
        <v/>
      </c>
      <c r="Q105" s="27" t="n"/>
      <c r="R105" s="27" t="n"/>
      <c r="S105" s="28" t="n"/>
      <c r="T105" s="28" t="n"/>
      <c r="U105" s="28" t="n"/>
      <c r="V105" s="27" t="n"/>
    </row>
    <row r="106">
      <c r="A106" s="27" t="n"/>
      <c r="B106" s="28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>
        <f>IF(COUNTA(H106:L106)&gt;0,SUM(H106:L106),"")</f>
        <v/>
      </c>
      <c r="N106" s="29" t="n"/>
      <c r="O106" s="29" t="n"/>
      <c r="P106" s="29">
        <f>IF(N106="","",N106-O106)</f>
        <v/>
      </c>
      <c r="Q106" s="27" t="n"/>
      <c r="R106" s="27" t="n"/>
      <c r="S106" s="28" t="n"/>
      <c r="T106" s="28" t="n"/>
      <c r="U106" s="28" t="n"/>
      <c r="V106" s="27" t="n"/>
    </row>
    <row r="107">
      <c r="A107" s="27" t="n"/>
      <c r="B107" s="28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>
        <f>IF(COUNTA(H107:L107)&gt;0,SUM(H107:L107),"")</f>
        <v/>
      </c>
      <c r="N107" s="29" t="n"/>
      <c r="O107" s="29" t="n"/>
      <c r="P107" s="29">
        <f>IF(N107="","",N107-O107)</f>
        <v/>
      </c>
      <c r="Q107" s="27" t="n"/>
      <c r="R107" s="27" t="n"/>
      <c r="S107" s="28" t="n"/>
      <c r="T107" s="28" t="n"/>
      <c r="U107" s="28" t="n"/>
      <c r="V107" s="27" t="n"/>
    </row>
    <row r="108">
      <c r="A108" s="27" t="n"/>
      <c r="B108" s="28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>
        <f>IF(COUNTA(H108:L108)&gt;0,SUM(H108:L108),"")</f>
        <v/>
      </c>
      <c r="N108" s="29" t="n"/>
      <c r="O108" s="29" t="n"/>
      <c r="P108" s="29">
        <f>IF(N108="","",N108-O108)</f>
        <v/>
      </c>
      <c r="Q108" s="27" t="n"/>
      <c r="R108" s="27" t="n"/>
      <c r="S108" s="28" t="n"/>
      <c r="T108" s="28" t="n"/>
      <c r="U108" s="28" t="n"/>
      <c r="V108" s="27" t="n"/>
    </row>
    <row r="109">
      <c r="A109" s="27" t="n"/>
      <c r="B109" s="28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>
        <f>IF(COUNTA(H109:L109)&gt;0,SUM(H109:L109),"")</f>
        <v/>
      </c>
      <c r="N109" s="29" t="n"/>
      <c r="O109" s="29" t="n"/>
      <c r="P109" s="29">
        <f>IF(N109="","",N109-O109)</f>
        <v/>
      </c>
      <c r="Q109" s="27" t="n"/>
      <c r="R109" s="27" t="n"/>
      <c r="S109" s="28" t="n"/>
      <c r="T109" s="28" t="n"/>
      <c r="U109" s="28" t="n"/>
      <c r="V109" s="27" t="n"/>
    </row>
    <row r="110">
      <c r="A110" s="27" t="n"/>
      <c r="B110" s="28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>
        <f>IF(COUNTA(H110:L110)&gt;0,SUM(H110:L110),"")</f>
        <v/>
      </c>
      <c r="N110" s="29" t="n"/>
      <c r="O110" s="29" t="n"/>
      <c r="P110" s="29">
        <f>IF(N110="","",N110-O110)</f>
        <v/>
      </c>
      <c r="Q110" s="27" t="n"/>
      <c r="R110" s="27" t="n"/>
      <c r="S110" s="28" t="n"/>
      <c r="T110" s="28" t="n"/>
      <c r="U110" s="28" t="n"/>
      <c r="V110" s="27" t="n"/>
    </row>
    <row r="111">
      <c r="A111" s="27" t="n"/>
      <c r="B111" s="28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>
        <f>IF(COUNTA(H111:L111)&gt;0,SUM(H111:L111),"")</f>
        <v/>
      </c>
      <c r="N111" s="29" t="n"/>
      <c r="O111" s="29" t="n"/>
      <c r="P111" s="29">
        <f>IF(N111="","",N111-O111)</f>
        <v/>
      </c>
      <c r="Q111" s="27" t="n"/>
      <c r="R111" s="27" t="n"/>
      <c r="S111" s="28" t="n"/>
      <c r="T111" s="28" t="n"/>
      <c r="U111" s="28" t="n"/>
      <c r="V111" s="27" t="n"/>
    </row>
    <row r="112">
      <c r="A112" s="27" t="n"/>
      <c r="B112" s="28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>
        <f>IF(COUNTA(H112:L112)&gt;0,SUM(H112:L112),"")</f>
        <v/>
      </c>
      <c r="N112" s="29" t="n"/>
      <c r="O112" s="29" t="n"/>
      <c r="P112" s="29">
        <f>IF(N112="","",N112-O112)</f>
        <v/>
      </c>
      <c r="Q112" s="27" t="n"/>
      <c r="R112" s="27" t="n"/>
      <c r="S112" s="28" t="n"/>
      <c r="T112" s="28" t="n"/>
      <c r="U112" s="28" t="n"/>
      <c r="V112" s="27" t="n"/>
    </row>
    <row r="113">
      <c r="A113" s="27" t="n"/>
      <c r="B113" s="28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>
        <f>IF(COUNTA(H113:L113)&gt;0,SUM(H113:L113),"")</f>
        <v/>
      </c>
      <c r="N113" s="29" t="n"/>
      <c r="O113" s="29" t="n"/>
      <c r="P113" s="29">
        <f>IF(N113="","",N113-O113)</f>
        <v/>
      </c>
      <c r="Q113" s="27" t="n"/>
      <c r="R113" s="27" t="n"/>
      <c r="S113" s="28" t="n"/>
      <c r="T113" s="28" t="n"/>
      <c r="U113" s="28" t="n"/>
      <c r="V113" s="27" t="n"/>
    </row>
    <row r="114">
      <c r="A114" s="27" t="n"/>
      <c r="B114" s="28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>
        <f>IF(COUNTA(H114:L114)&gt;0,SUM(H114:L114),"")</f>
        <v/>
      </c>
      <c r="N114" s="29" t="n"/>
      <c r="O114" s="29" t="n"/>
      <c r="P114" s="29">
        <f>IF(N114="","",N114-O114)</f>
        <v/>
      </c>
      <c r="Q114" s="27" t="n"/>
      <c r="R114" s="27" t="n"/>
      <c r="S114" s="28" t="n"/>
      <c r="T114" s="28" t="n"/>
      <c r="U114" s="28" t="n"/>
      <c r="V114" s="27" t="n"/>
    </row>
    <row r="115">
      <c r="A115" s="27" t="n"/>
      <c r="B115" s="28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>
        <f>IF(COUNTA(H115:L115)&gt;0,SUM(H115:L115),"")</f>
        <v/>
      </c>
      <c r="N115" s="29" t="n"/>
      <c r="O115" s="29" t="n"/>
      <c r="P115" s="29">
        <f>IF(N115="","",N115-O115)</f>
        <v/>
      </c>
      <c r="Q115" s="27" t="n"/>
      <c r="R115" s="27" t="n"/>
      <c r="S115" s="28" t="n"/>
      <c r="T115" s="28" t="n"/>
      <c r="U115" s="28" t="n"/>
      <c r="V115" s="27" t="n"/>
    </row>
    <row r="116">
      <c r="A116" s="27" t="n"/>
      <c r="B116" s="28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>
        <f>IF(COUNTA(H116:L116)&gt;0,SUM(H116:L116),"")</f>
        <v/>
      </c>
      <c r="N116" s="29" t="n"/>
      <c r="O116" s="29" t="n"/>
      <c r="P116" s="29">
        <f>IF(N116="","",N116-O116)</f>
        <v/>
      </c>
      <c r="Q116" s="27" t="n"/>
      <c r="R116" s="27" t="n"/>
      <c r="S116" s="28" t="n"/>
      <c r="T116" s="28" t="n"/>
      <c r="U116" s="28" t="n"/>
      <c r="V116" s="27" t="n"/>
    </row>
    <row r="117">
      <c r="A117" s="27" t="n"/>
      <c r="B117" s="28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>
        <f>IF(COUNTA(H117:L117)&gt;0,SUM(H117:L117),"")</f>
        <v/>
      </c>
      <c r="N117" s="29" t="n"/>
      <c r="O117" s="29" t="n"/>
      <c r="P117" s="29">
        <f>IF(N117="","",N117-O117)</f>
        <v/>
      </c>
      <c r="Q117" s="27" t="n"/>
      <c r="R117" s="27" t="n"/>
      <c r="S117" s="28" t="n"/>
      <c r="T117" s="28" t="n"/>
      <c r="U117" s="28" t="n"/>
      <c r="V117" s="27" t="n"/>
    </row>
    <row r="118">
      <c r="A118" s="27" t="n"/>
      <c r="B118" s="28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>
        <f>IF(COUNTA(H118:L118)&gt;0,SUM(H118:L118),"")</f>
        <v/>
      </c>
      <c r="N118" s="29" t="n"/>
      <c r="O118" s="29" t="n"/>
      <c r="P118" s="29">
        <f>IF(N118="","",N118-O118)</f>
        <v/>
      </c>
      <c r="Q118" s="27" t="n"/>
      <c r="R118" s="27" t="n"/>
      <c r="S118" s="28" t="n"/>
      <c r="T118" s="28" t="n"/>
      <c r="U118" s="28" t="n"/>
      <c r="V118" s="27" t="n"/>
    </row>
    <row r="119">
      <c r="A119" s="27" t="n"/>
      <c r="B119" s="28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>
        <f>IF(COUNTA(H119:L119)&gt;0,SUM(H119:L119),"")</f>
        <v/>
      </c>
      <c r="N119" s="29" t="n"/>
      <c r="O119" s="29" t="n"/>
      <c r="P119" s="29">
        <f>IF(N119="","",N119-O119)</f>
        <v/>
      </c>
      <c r="Q119" s="27" t="n"/>
      <c r="R119" s="27" t="n"/>
      <c r="S119" s="28" t="n"/>
      <c r="T119" s="28" t="n"/>
      <c r="U119" s="28" t="n"/>
      <c r="V119" s="27" t="n"/>
    </row>
    <row r="120">
      <c r="A120" s="27" t="n"/>
      <c r="B120" s="28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>
        <f>IF(COUNTA(H120:L120)&gt;0,SUM(H120:L120),"")</f>
        <v/>
      </c>
      <c r="N120" s="29" t="n"/>
      <c r="O120" s="29" t="n"/>
      <c r="P120" s="29">
        <f>IF(N120="","",N120-O120)</f>
        <v/>
      </c>
      <c r="Q120" s="27" t="n"/>
      <c r="R120" s="27" t="n"/>
      <c r="S120" s="28" t="n"/>
      <c r="T120" s="28" t="n"/>
      <c r="U120" s="28" t="n"/>
      <c r="V120" s="27" t="n"/>
    </row>
    <row r="121">
      <c r="A121" s="27" t="n"/>
      <c r="B121" s="28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>
        <f>IF(COUNTA(H121:L121)&gt;0,SUM(H121:L121),"")</f>
        <v/>
      </c>
      <c r="N121" s="29" t="n"/>
      <c r="O121" s="29" t="n"/>
      <c r="P121" s="29">
        <f>IF(N121="","",N121-O121)</f>
        <v/>
      </c>
      <c r="Q121" s="27" t="n"/>
      <c r="R121" s="27" t="n"/>
      <c r="S121" s="28" t="n"/>
      <c r="T121" s="28" t="n"/>
      <c r="U121" s="28" t="n"/>
      <c r="V121" s="27" t="n"/>
    </row>
    <row r="122">
      <c r="A122" s="27" t="n"/>
      <c r="B122" s="28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>
        <f>IF(COUNTA(H122:L122)&gt;0,SUM(H122:L122),"")</f>
        <v/>
      </c>
      <c r="N122" s="29" t="n"/>
      <c r="O122" s="29" t="n"/>
      <c r="P122" s="29">
        <f>IF(N122="","",N122-O122)</f>
        <v/>
      </c>
      <c r="Q122" s="27" t="n"/>
      <c r="R122" s="27" t="n"/>
      <c r="S122" s="28" t="n"/>
      <c r="T122" s="28" t="n"/>
      <c r="U122" s="28" t="n"/>
      <c r="V122" s="27" t="n"/>
    </row>
    <row r="123">
      <c r="A123" s="27" t="n"/>
      <c r="B123" s="28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>
        <f>IF(COUNTA(H123:L123)&gt;0,SUM(H123:L123),"")</f>
        <v/>
      </c>
      <c r="N123" s="29" t="n"/>
      <c r="O123" s="29" t="n"/>
      <c r="P123" s="29">
        <f>IF(N123="","",N123-O123)</f>
        <v/>
      </c>
      <c r="Q123" s="27" t="n"/>
      <c r="R123" s="27" t="n"/>
      <c r="S123" s="28" t="n"/>
      <c r="T123" s="28" t="n"/>
      <c r="U123" s="28" t="n"/>
      <c r="V123" s="27" t="n"/>
    </row>
    <row r="124">
      <c r="A124" s="27" t="n"/>
      <c r="B124" s="28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>
        <f>IF(COUNTA(H124:L124)&gt;0,SUM(H124:L124),"")</f>
        <v/>
      </c>
      <c r="N124" s="29" t="n"/>
      <c r="O124" s="29" t="n"/>
      <c r="P124" s="29">
        <f>IF(N124="","",N124-O124)</f>
        <v/>
      </c>
      <c r="Q124" s="27" t="n"/>
      <c r="R124" s="27" t="n"/>
      <c r="S124" s="28" t="n"/>
      <c r="T124" s="28" t="n"/>
      <c r="U124" s="28" t="n"/>
      <c r="V124" s="27" t="n"/>
    </row>
    <row r="125">
      <c r="A125" s="27" t="n"/>
      <c r="B125" s="28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>
        <f>IF(COUNTA(H125:L125)&gt;0,SUM(H125:L125),"")</f>
        <v/>
      </c>
      <c r="N125" s="29" t="n"/>
      <c r="O125" s="29" t="n"/>
      <c r="P125" s="29">
        <f>IF(N125="","",N125-O125)</f>
        <v/>
      </c>
      <c r="Q125" s="27" t="n"/>
      <c r="R125" s="27" t="n"/>
      <c r="S125" s="28" t="n"/>
      <c r="T125" s="28" t="n"/>
      <c r="U125" s="28" t="n"/>
      <c r="V125" s="27" t="n"/>
    </row>
    <row r="126">
      <c r="A126" s="27" t="n"/>
      <c r="B126" s="28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>
        <f>IF(COUNTA(H126:L126)&gt;0,SUM(H126:L126),"")</f>
        <v/>
      </c>
      <c r="N126" s="29" t="n"/>
      <c r="O126" s="29" t="n"/>
      <c r="P126" s="29">
        <f>IF(N126="","",N126-O126)</f>
        <v/>
      </c>
      <c r="Q126" s="27" t="n"/>
      <c r="R126" s="27" t="n"/>
      <c r="S126" s="28" t="n"/>
      <c r="T126" s="28" t="n"/>
      <c r="U126" s="28" t="n"/>
      <c r="V126" s="27" t="n"/>
    </row>
    <row r="127">
      <c r="A127" s="27" t="n"/>
      <c r="B127" s="28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>
        <f>IF(COUNTA(H127:L127)&gt;0,SUM(H127:L127),"")</f>
        <v/>
      </c>
      <c r="N127" s="29" t="n"/>
      <c r="O127" s="29" t="n"/>
      <c r="P127" s="29">
        <f>IF(N127="","",N127-O127)</f>
        <v/>
      </c>
      <c r="Q127" s="27" t="n"/>
      <c r="R127" s="27" t="n"/>
      <c r="S127" s="28" t="n"/>
      <c r="T127" s="28" t="n"/>
      <c r="U127" s="28" t="n"/>
      <c r="V127" s="27" t="n"/>
    </row>
    <row r="128">
      <c r="A128" s="27" t="n"/>
      <c r="B128" s="28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>
        <f>IF(COUNTA(H128:L128)&gt;0,SUM(H128:L128),"")</f>
        <v/>
      </c>
      <c r="N128" s="29" t="n"/>
      <c r="O128" s="29" t="n"/>
      <c r="P128" s="29">
        <f>IF(N128="","",N128-O128)</f>
        <v/>
      </c>
      <c r="Q128" s="27" t="n"/>
      <c r="R128" s="27" t="n"/>
      <c r="S128" s="28" t="n"/>
      <c r="T128" s="28" t="n"/>
      <c r="U128" s="28" t="n"/>
      <c r="V128" s="27" t="n"/>
    </row>
    <row r="129">
      <c r="A129" s="27" t="n"/>
      <c r="B129" s="28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>
        <f>IF(COUNTA(H129:L129)&gt;0,SUM(H129:L129),"")</f>
        <v/>
      </c>
      <c r="N129" s="29" t="n"/>
      <c r="O129" s="29" t="n"/>
      <c r="P129" s="29">
        <f>IF(N129="","",N129-O129)</f>
        <v/>
      </c>
      <c r="Q129" s="27" t="n"/>
      <c r="R129" s="27" t="n"/>
      <c r="S129" s="28" t="n"/>
      <c r="T129" s="28" t="n"/>
      <c r="U129" s="28" t="n"/>
      <c r="V129" s="27" t="n"/>
    </row>
    <row r="130">
      <c r="A130" s="27" t="n"/>
      <c r="B130" s="28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>
        <f>IF(COUNTA(H130:L130)&gt;0,SUM(H130:L130),"")</f>
        <v/>
      </c>
      <c r="N130" s="29" t="n"/>
      <c r="O130" s="29" t="n"/>
      <c r="P130" s="29">
        <f>IF(N130="","",N130-O130)</f>
        <v/>
      </c>
      <c r="Q130" s="27" t="n"/>
      <c r="R130" s="27" t="n"/>
      <c r="S130" s="28" t="n"/>
      <c r="T130" s="28" t="n"/>
      <c r="U130" s="28" t="n"/>
      <c r="V130" s="27" t="n"/>
    </row>
    <row r="131">
      <c r="A131" s="27" t="n"/>
      <c r="B131" s="28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>
        <f>IF(COUNTA(H131:L131)&gt;0,SUM(H131:L131),"")</f>
        <v/>
      </c>
      <c r="N131" s="29" t="n"/>
      <c r="O131" s="29" t="n"/>
      <c r="P131" s="29">
        <f>IF(N131="","",N131-O131)</f>
        <v/>
      </c>
      <c r="Q131" s="27" t="n"/>
      <c r="R131" s="27" t="n"/>
      <c r="S131" s="28" t="n"/>
      <c r="T131" s="28" t="n"/>
      <c r="U131" s="28" t="n"/>
      <c r="V131" s="27" t="n"/>
    </row>
    <row r="132">
      <c r="A132" s="27" t="n"/>
      <c r="B132" s="28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>
        <f>IF(COUNTA(H132:L132)&gt;0,SUM(H132:L132),"")</f>
        <v/>
      </c>
      <c r="N132" s="29" t="n"/>
      <c r="O132" s="29" t="n"/>
      <c r="P132" s="29">
        <f>IF(N132="","",N132-O132)</f>
        <v/>
      </c>
      <c r="Q132" s="27" t="n"/>
      <c r="R132" s="27" t="n"/>
      <c r="S132" s="28" t="n"/>
      <c r="T132" s="28" t="n"/>
      <c r="U132" s="28" t="n"/>
      <c r="V132" s="27" t="n"/>
    </row>
    <row r="133">
      <c r="A133" s="27" t="n"/>
      <c r="B133" s="28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>
        <f>IF(COUNTA(H133:L133)&gt;0,SUM(H133:L133),"")</f>
        <v/>
      </c>
      <c r="N133" s="29" t="n"/>
      <c r="O133" s="29" t="n"/>
      <c r="P133" s="29">
        <f>IF(N133="","",N133-O133)</f>
        <v/>
      </c>
      <c r="Q133" s="27" t="n"/>
      <c r="R133" s="27" t="n"/>
      <c r="S133" s="28" t="n"/>
      <c r="T133" s="28" t="n"/>
      <c r="U133" s="28" t="n"/>
      <c r="V133" s="27" t="n"/>
    </row>
    <row r="134">
      <c r="A134" s="27" t="n"/>
      <c r="B134" s="28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>
        <f>IF(COUNTA(H134:L134)&gt;0,SUM(H134:L134),"")</f>
        <v/>
      </c>
      <c r="N134" s="29" t="n"/>
      <c r="O134" s="29" t="n"/>
      <c r="P134" s="29">
        <f>IF(N134="","",N134-O134)</f>
        <v/>
      </c>
      <c r="Q134" s="27" t="n"/>
      <c r="R134" s="27" t="n"/>
      <c r="S134" s="28" t="n"/>
      <c r="T134" s="28" t="n"/>
      <c r="U134" s="28" t="n"/>
      <c r="V134" s="27" t="n"/>
    </row>
    <row r="135">
      <c r="A135" s="27" t="n"/>
      <c r="B135" s="28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>
        <f>IF(COUNTA(H135:L135)&gt;0,SUM(H135:L135),"")</f>
        <v/>
      </c>
      <c r="N135" s="29" t="n"/>
      <c r="O135" s="29" t="n"/>
      <c r="P135" s="29">
        <f>IF(N135="","",N135-O135)</f>
        <v/>
      </c>
      <c r="Q135" s="27" t="n"/>
      <c r="R135" s="27" t="n"/>
      <c r="S135" s="28" t="n"/>
      <c r="T135" s="28" t="n"/>
      <c r="U135" s="28" t="n"/>
      <c r="V135" s="27" t="n"/>
    </row>
    <row r="136">
      <c r="A136" s="27" t="n"/>
      <c r="B136" s="28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>
        <f>IF(COUNTA(H136:L136)&gt;0,SUM(H136:L136),"")</f>
        <v/>
      </c>
      <c r="N136" s="29" t="n"/>
      <c r="O136" s="29" t="n"/>
      <c r="P136" s="29">
        <f>IF(N136="","",N136-O136)</f>
        <v/>
      </c>
      <c r="Q136" s="27" t="n"/>
      <c r="R136" s="27" t="n"/>
      <c r="S136" s="28" t="n"/>
      <c r="T136" s="28" t="n"/>
      <c r="U136" s="28" t="n"/>
      <c r="V136" s="27" t="n"/>
    </row>
    <row r="137">
      <c r="A137" s="27" t="n"/>
      <c r="B137" s="28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>
        <f>IF(COUNTA(H137:L137)&gt;0,SUM(H137:L137),"")</f>
        <v/>
      </c>
      <c r="N137" s="29" t="n"/>
      <c r="O137" s="29" t="n"/>
      <c r="P137" s="29">
        <f>IF(N137="","",N137-O137)</f>
        <v/>
      </c>
      <c r="Q137" s="27" t="n"/>
      <c r="R137" s="27" t="n"/>
      <c r="S137" s="28" t="n"/>
      <c r="T137" s="28" t="n"/>
      <c r="U137" s="28" t="n"/>
      <c r="V137" s="27" t="n"/>
    </row>
    <row r="138">
      <c r="A138" s="27" t="n"/>
      <c r="B138" s="28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>
        <f>IF(COUNTA(H138:L138)&gt;0,SUM(H138:L138),"")</f>
        <v/>
      </c>
      <c r="N138" s="29" t="n"/>
      <c r="O138" s="29" t="n"/>
      <c r="P138" s="29">
        <f>IF(N138="","",N138-O138)</f>
        <v/>
      </c>
      <c r="Q138" s="27" t="n"/>
      <c r="R138" s="27" t="n"/>
      <c r="S138" s="28" t="n"/>
      <c r="T138" s="28" t="n"/>
      <c r="U138" s="28" t="n"/>
      <c r="V138" s="27" t="n"/>
    </row>
    <row r="139">
      <c r="A139" s="27" t="n"/>
      <c r="B139" s="28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>
        <f>IF(COUNTA(H139:L139)&gt;0,SUM(H139:L139),"")</f>
        <v/>
      </c>
      <c r="N139" s="29" t="n"/>
      <c r="O139" s="29" t="n"/>
      <c r="P139" s="29">
        <f>IF(N139="","",N139-O139)</f>
        <v/>
      </c>
      <c r="Q139" s="27" t="n"/>
      <c r="R139" s="27" t="n"/>
      <c r="S139" s="28" t="n"/>
      <c r="T139" s="28" t="n"/>
      <c r="U139" s="28" t="n"/>
      <c r="V139" s="27" t="n"/>
    </row>
    <row r="140">
      <c r="A140" s="27" t="n"/>
      <c r="B140" s="28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>
        <f>IF(COUNTA(H140:L140)&gt;0,SUM(H140:L140),"")</f>
        <v/>
      </c>
      <c r="N140" s="29" t="n"/>
      <c r="O140" s="29" t="n"/>
      <c r="P140" s="29">
        <f>IF(N140="","",N140-O140)</f>
        <v/>
      </c>
      <c r="Q140" s="27" t="n"/>
      <c r="R140" s="27" t="n"/>
      <c r="S140" s="28" t="n"/>
      <c r="T140" s="28" t="n"/>
      <c r="U140" s="28" t="n"/>
      <c r="V140" s="27" t="n"/>
    </row>
    <row r="141">
      <c r="A141" s="27" t="n"/>
      <c r="B141" s="28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>
        <f>IF(COUNTA(H141:L141)&gt;0,SUM(H141:L141),"")</f>
        <v/>
      </c>
      <c r="N141" s="29" t="n"/>
      <c r="O141" s="29" t="n"/>
      <c r="P141" s="29">
        <f>IF(N141="","",N141-O141)</f>
        <v/>
      </c>
      <c r="Q141" s="27" t="n"/>
      <c r="R141" s="27" t="n"/>
      <c r="S141" s="28" t="n"/>
      <c r="T141" s="28" t="n"/>
      <c r="U141" s="28" t="n"/>
      <c r="V141" s="27" t="n"/>
    </row>
    <row r="142">
      <c r="A142" s="27" t="n"/>
      <c r="B142" s="28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>
        <f>IF(COUNTA(H142:L142)&gt;0,SUM(H142:L142),"")</f>
        <v/>
      </c>
      <c r="N142" s="29" t="n"/>
      <c r="O142" s="29" t="n"/>
      <c r="P142" s="29">
        <f>IF(N142="","",N142-O142)</f>
        <v/>
      </c>
      <c r="Q142" s="27" t="n"/>
      <c r="R142" s="27" t="n"/>
      <c r="S142" s="28" t="n"/>
      <c r="T142" s="28" t="n"/>
      <c r="U142" s="28" t="n"/>
      <c r="V142" s="27" t="n"/>
    </row>
    <row r="143">
      <c r="A143" s="27" t="n"/>
      <c r="B143" s="28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>
        <f>IF(COUNTA(H143:L143)&gt;0,SUM(H143:L143),"")</f>
        <v/>
      </c>
      <c r="N143" s="29" t="n"/>
      <c r="O143" s="29" t="n"/>
      <c r="P143" s="29">
        <f>IF(N143="","",N143-O143)</f>
        <v/>
      </c>
      <c r="Q143" s="27" t="n"/>
      <c r="R143" s="27" t="n"/>
      <c r="S143" s="28" t="n"/>
      <c r="T143" s="28" t="n"/>
      <c r="U143" s="28" t="n"/>
      <c r="V143" s="27" t="n"/>
    </row>
    <row r="144">
      <c r="A144" s="27" t="n"/>
      <c r="B144" s="28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>
        <f>IF(COUNTA(H144:L144)&gt;0,SUM(H144:L144),"")</f>
        <v/>
      </c>
      <c r="N144" s="29" t="n"/>
      <c r="O144" s="29" t="n"/>
      <c r="P144" s="29">
        <f>IF(N144="","",N144-O144)</f>
        <v/>
      </c>
      <c r="Q144" s="27" t="n"/>
      <c r="R144" s="27" t="n"/>
      <c r="S144" s="28" t="n"/>
      <c r="T144" s="28" t="n"/>
      <c r="U144" s="28" t="n"/>
      <c r="V144" s="27" t="n"/>
    </row>
    <row r="145">
      <c r="A145" s="27" t="n"/>
      <c r="B145" s="28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>
        <f>IF(COUNTA(H145:L145)&gt;0,SUM(H145:L145),"")</f>
        <v/>
      </c>
      <c r="N145" s="29" t="n"/>
      <c r="O145" s="29" t="n"/>
      <c r="P145" s="29">
        <f>IF(N145="","",N145-O145)</f>
        <v/>
      </c>
      <c r="Q145" s="27" t="n"/>
      <c r="R145" s="27" t="n"/>
      <c r="S145" s="28" t="n"/>
      <c r="T145" s="28" t="n"/>
      <c r="U145" s="28" t="n"/>
      <c r="V145" s="27" t="n"/>
    </row>
    <row r="146">
      <c r="A146" s="27" t="n"/>
      <c r="B146" s="28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>
        <f>IF(COUNTA(H146:L146)&gt;0,SUM(H146:L146),"")</f>
        <v/>
      </c>
      <c r="N146" s="29" t="n"/>
      <c r="O146" s="29" t="n"/>
      <c r="P146" s="29">
        <f>IF(N146="","",N146-O146)</f>
        <v/>
      </c>
      <c r="Q146" s="27" t="n"/>
      <c r="R146" s="27" t="n"/>
      <c r="S146" s="28" t="n"/>
      <c r="T146" s="28" t="n"/>
      <c r="U146" s="28" t="n"/>
      <c r="V146" s="27" t="n"/>
    </row>
    <row r="147">
      <c r="A147" s="27" t="n"/>
      <c r="B147" s="28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>
        <f>IF(COUNTA(H147:L147)&gt;0,SUM(H147:L147),"")</f>
        <v/>
      </c>
      <c r="N147" s="29" t="n"/>
      <c r="O147" s="29" t="n"/>
      <c r="P147" s="29">
        <f>IF(N147="","",N147-O147)</f>
        <v/>
      </c>
      <c r="Q147" s="27" t="n"/>
      <c r="R147" s="27" t="n"/>
      <c r="S147" s="28" t="n"/>
      <c r="T147" s="28" t="n"/>
      <c r="U147" s="28" t="n"/>
      <c r="V147" s="27" t="n"/>
    </row>
    <row r="148">
      <c r="A148" s="27" t="n"/>
      <c r="B148" s="28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>
        <f>IF(COUNTA(H148:L148)&gt;0,SUM(H148:L148),"")</f>
        <v/>
      </c>
      <c r="N148" s="29" t="n"/>
      <c r="O148" s="29" t="n"/>
      <c r="P148" s="29">
        <f>IF(N148="","",N148-O148)</f>
        <v/>
      </c>
      <c r="Q148" s="27" t="n"/>
      <c r="R148" s="27" t="n"/>
      <c r="S148" s="28" t="n"/>
      <c r="T148" s="28" t="n"/>
      <c r="U148" s="28" t="n"/>
      <c r="V148" s="27" t="n"/>
    </row>
    <row r="149">
      <c r="A149" s="27" t="n"/>
      <c r="B149" s="28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>
        <f>IF(COUNTA(H149:L149)&gt;0,SUM(H149:L149),"")</f>
        <v/>
      </c>
      <c r="N149" s="29" t="n"/>
      <c r="O149" s="29" t="n"/>
      <c r="P149" s="29">
        <f>IF(N149="","",N149-O149)</f>
        <v/>
      </c>
      <c r="Q149" s="27" t="n"/>
      <c r="R149" s="27" t="n"/>
      <c r="S149" s="28" t="n"/>
      <c r="T149" s="28" t="n"/>
      <c r="U149" s="28" t="n"/>
      <c r="V149" s="27" t="n"/>
    </row>
    <row r="150">
      <c r="A150" s="27" t="n"/>
      <c r="B150" s="28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>
        <f>IF(COUNTA(H150:L150)&gt;0,SUM(H150:L150),"")</f>
        <v/>
      </c>
      <c r="N150" s="29" t="n"/>
      <c r="O150" s="29" t="n"/>
      <c r="P150" s="29">
        <f>IF(N150="","",N150-O150)</f>
        <v/>
      </c>
      <c r="Q150" s="27" t="n"/>
      <c r="R150" s="27" t="n"/>
      <c r="S150" s="28" t="n"/>
      <c r="T150" s="28" t="n"/>
      <c r="U150" s="28" t="n"/>
      <c r="V150" s="27" t="n"/>
    </row>
    <row r="151">
      <c r="A151" s="27" t="n"/>
      <c r="B151" s="28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>
        <f>IF(COUNTA(H151:L151)&gt;0,SUM(H151:L151),"")</f>
        <v/>
      </c>
      <c r="N151" s="29" t="n"/>
      <c r="O151" s="29" t="n"/>
      <c r="P151" s="29">
        <f>IF(N151="","",N151-O151)</f>
        <v/>
      </c>
      <c r="Q151" s="27" t="n"/>
      <c r="R151" s="27" t="n"/>
      <c r="S151" s="28" t="n"/>
      <c r="T151" s="28" t="n"/>
      <c r="U151" s="28" t="n"/>
      <c r="V151" s="27" t="n"/>
    </row>
    <row r="152">
      <c r="A152" s="27" t="n"/>
      <c r="B152" s="28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>
        <f>IF(COUNTA(H152:L152)&gt;0,SUM(H152:L152),"")</f>
        <v/>
      </c>
      <c r="N152" s="29" t="n"/>
      <c r="O152" s="29" t="n"/>
      <c r="P152" s="29">
        <f>IF(N152="","",N152-O152)</f>
        <v/>
      </c>
      <c r="Q152" s="27" t="n"/>
      <c r="R152" s="27" t="n"/>
      <c r="S152" s="28" t="n"/>
      <c r="T152" s="28" t="n"/>
      <c r="U152" s="28" t="n"/>
      <c r="V152" s="27" t="n"/>
    </row>
    <row r="153">
      <c r="A153" s="27" t="n"/>
      <c r="B153" s="28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>
        <f>IF(COUNTA(H153:L153)&gt;0,SUM(H153:L153),"")</f>
        <v/>
      </c>
      <c r="N153" s="29" t="n"/>
      <c r="O153" s="29" t="n"/>
      <c r="P153" s="29">
        <f>IF(N153="","",N153-O153)</f>
        <v/>
      </c>
      <c r="Q153" s="27" t="n"/>
      <c r="R153" s="27" t="n"/>
      <c r="S153" s="28" t="n"/>
      <c r="T153" s="28" t="n"/>
      <c r="U153" s="28" t="n"/>
      <c r="V153" s="27" t="n"/>
    </row>
    <row r="154">
      <c r="A154" s="27" t="n"/>
      <c r="B154" s="28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>
        <f>IF(COUNTA(H154:L154)&gt;0,SUM(H154:L154),"")</f>
        <v/>
      </c>
      <c r="N154" s="29" t="n"/>
      <c r="O154" s="29" t="n"/>
      <c r="P154" s="29">
        <f>IF(N154="","",N154-O154)</f>
        <v/>
      </c>
      <c r="Q154" s="27" t="n"/>
      <c r="R154" s="27" t="n"/>
      <c r="S154" s="28" t="n"/>
      <c r="T154" s="28" t="n"/>
      <c r="U154" s="28" t="n"/>
      <c r="V154" s="27" t="n"/>
    </row>
    <row r="155">
      <c r="A155" s="27" t="n"/>
      <c r="B155" s="28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>
        <f>IF(COUNTA(H155:L155)&gt;0,SUM(H155:L155),"")</f>
        <v/>
      </c>
      <c r="N155" s="29" t="n"/>
      <c r="O155" s="29" t="n"/>
      <c r="P155" s="29">
        <f>IF(N155="","",N155-O155)</f>
        <v/>
      </c>
      <c r="Q155" s="27" t="n"/>
      <c r="R155" s="27" t="n"/>
      <c r="S155" s="28" t="n"/>
      <c r="T155" s="28" t="n"/>
      <c r="U155" s="28" t="n"/>
      <c r="V155" s="27" t="n"/>
    </row>
    <row r="156">
      <c r="A156" s="27" t="n"/>
      <c r="B156" s="28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>
        <f>IF(COUNTA(H156:L156)&gt;0,SUM(H156:L156),"")</f>
        <v/>
      </c>
      <c r="N156" s="29" t="n"/>
      <c r="O156" s="29" t="n"/>
      <c r="P156" s="29">
        <f>IF(N156="","",N156-O156)</f>
        <v/>
      </c>
      <c r="Q156" s="27" t="n"/>
      <c r="R156" s="27" t="n"/>
      <c r="S156" s="28" t="n"/>
      <c r="T156" s="28" t="n"/>
      <c r="U156" s="28" t="n"/>
      <c r="V156" s="27" t="n"/>
    </row>
    <row r="157">
      <c r="A157" s="27" t="n"/>
      <c r="B157" s="28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>
        <f>IF(COUNTA(H157:L157)&gt;0,SUM(H157:L157),"")</f>
        <v/>
      </c>
      <c r="N157" s="29" t="n"/>
      <c r="O157" s="29" t="n"/>
      <c r="P157" s="29">
        <f>IF(N157="","",N157-O157)</f>
        <v/>
      </c>
      <c r="Q157" s="27" t="n"/>
      <c r="R157" s="27" t="n"/>
      <c r="S157" s="28" t="n"/>
      <c r="T157" s="28" t="n"/>
      <c r="U157" s="28" t="n"/>
      <c r="V157" s="27" t="n"/>
    </row>
    <row r="158">
      <c r="A158" s="27" t="n"/>
      <c r="B158" s="28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>
        <f>IF(COUNTA(H158:L158)&gt;0,SUM(H158:L158),"")</f>
        <v/>
      </c>
      <c r="N158" s="29" t="n"/>
      <c r="O158" s="29" t="n"/>
      <c r="P158" s="29">
        <f>IF(N158="","",N158-O158)</f>
        <v/>
      </c>
      <c r="Q158" s="27" t="n"/>
      <c r="R158" s="27" t="n"/>
      <c r="S158" s="28" t="n"/>
      <c r="T158" s="28" t="n"/>
      <c r="U158" s="28" t="n"/>
      <c r="V158" s="27" t="n"/>
    </row>
    <row r="159">
      <c r="A159" s="27" t="n"/>
      <c r="B159" s="28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>
        <f>IF(COUNTA(H159:L159)&gt;0,SUM(H159:L159),"")</f>
        <v/>
      </c>
      <c r="N159" s="29" t="n"/>
      <c r="O159" s="29" t="n"/>
      <c r="P159" s="29">
        <f>IF(N159="","",N159-O159)</f>
        <v/>
      </c>
      <c r="Q159" s="27" t="n"/>
      <c r="R159" s="27" t="n"/>
      <c r="S159" s="28" t="n"/>
      <c r="T159" s="28" t="n"/>
      <c r="U159" s="28" t="n"/>
      <c r="V159" s="27" t="n"/>
    </row>
    <row r="160">
      <c r="A160" s="27" t="n"/>
      <c r="B160" s="28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>
        <f>IF(COUNTA(H160:L160)&gt;0,SUM(H160:L160),"")</f>
        <v/>
      </c>
      <c r="N160" s="29" t="n"/>
      <c r="O160" s="29" t="n"/>
      <c r="P160" s="29">
        <f>IF(N160="","",N160-O160)</f>
        <v/>
      </c>
      <c r="Q160" s="27" t="n"/>
      <c r="R160" s="27" t="n"/>
      <c r="S160" s="28" t="n"/>
      <c r="T160" s="28" t="n"/>
      <c r="U160" s="28" t="n"/>
      <c r="V160" s="27" t="n"/>
    </row>
    <row r="161">
      <c r="A161" s="27" t="n"/>
      <c r="B161" s="28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>
        <f>IF(COUNTA(H161:L161)&gt;0,SUM(H161:L161),"")</f>
        <v/>
      </c>
      <c r="N161" s="29" t="n"/>
      <c r="O161" s="29" t="n"/>
      <c r="P161" s="29">
        <f>IF(N161="","",N161-O161)</f>
        <v/>
      </c>
      <c r="Q161" s="27" t="n"/>
      <c r="R161" s="27" t="n"/>
      <c r="S161" s="28" t="n"/>
      <c r="T161" s="28" t="n"/>
      <c r="U161" s="28" t="n"/>
      <c r="V161" s="27" t="n"/>
    </row>
    <row r="162">
      <c r="A162" s="27" t="n"/>
      <c r="B162" s="28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>
        <f>IF(COUNTA(H162:L162)&gt;0,SUM(H162:L162),"")</f>
        <v/>
      </c>
      <c r="N162" s="29" t="n"/>
      <c r="O162" s="29" t="n"/>
      <c r="P162" s="29">
        <f>IF(N162="","",N162-O162)</f>
        <v/>
      </c>
      <c r="Q162" s="27" t="n"/>
      <c r="R162" s="27" t="n"/>
      <c r="S162" s="28" t="n"/>
      <c r="T162" s="28" t="n"/>
      <c r="U162" s="28" t="n"/>
      <c r="V162" s="27" t="n"/>
    </row>
    <row r="163">
      <c r="A163" s="27" t="n"/>
      <c r="B163" s="28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>
        <f>IF(COUNTA(H163:L163)&gt;0,SUM(H163:L163),"")</f>
        <v/>
      </c>
      <c r="N163" s="29" t="n"/>
      <c r="O163" s="29" t="n"/>
      <c r="P163" s="29">
        <f>IF(N163="","",N163-O163)</f>
        <v/>
      </c>
      <c r="Q163" s="27" t="n"/>
      <c r="R163" s="27" t="n"/>
      <c r="S163" s="28" t="n"/>
      <c r="T163" s="28" t="n"/>
      <c r="U163" s="28" t="n"/>
      <c r="V163" s="27" t="n"/>
    </row>
    <row r="164">
      <c r="A164" s="27" t="n"/>
      <c r="B164" s="28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>
        <f>IF(COUNTA(H164:L164)&gt;0,SUM(H164:L164),"")</f>
        <v/>
      </c>
      <c r="N164" s="29" t="n"/>
      <c r="O164" s="29" t="n"/>
      <c r="P164" s="29">
        <f>IF(N164="","",N164-O164)</f>
        <v/>
      </c>
      <c r="Q164" s="27" t="n"/>
      <c r="R164" s="27" t="n"/>
      <c r="S164" s="28" t="n"/>
      <c r="T164" s="28" t="n"/>
      <c r="U164" s="28" t="n"/>
      <c r="V164" s="27" t="n"/>
    </row>
    <row r="165">
      <c r="A165" s="27" t="n"/>
      <c r="B165" s="28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>
        <f>IF(COUNTA(H165:L165)&gt;0,SUM(H165:L165),"")</f>
        <v/>
      </c>
      <c r="N165" s="29" t="n"/>
      <c r="O165" s="29" t="n"/>
      <c r="P165" s="29">
        <f>IF(N165="","",N165-O165)</f>
        <v/>
      </c>
      <c r="Q165" s="27" t="n"/>
      <c r="R165" s="27" t="n"/>
      <c r="S165" s="28" t="n"/>
      <c r="T165" s="28" t="n"/>
      <c r="U165" s="28" t="n"/>
      <c r="V165" s="27" t="n"/>
    </row>
    <row r="166">
      <c r="A166" s="27" t="n"/>
      <c r="B166" s="28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>
        <f>IF(COUNTA(H166:L166)&gt;0,SUM(H166:L166),"")</f>
        <v/>
      </c>
      <c r="N166" s="29" t="n"/>
      <c r="O166" s="29" t="n"/>
      <c r="P166" s="29">
        <f>IF(N166="","",N166-O166)</f>
        <v/>
      </c>
      <c r="Q166" s="27" t="n"/>
      <c r="R166" s="27" t="n"/>
      <c r="S166" s="28" t="n"/>
      <c r="T166" s="28" t="n"/>
      <c r="U166" s="28" t="n"/>
      <c r="V166" s="27" t="n"/>
    </row>
    <row r="167">
      <c r="A167" s="27" t="n"/>
      <c r="B167" s="28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>
        <f>IF(COUNTA(H167:L167)&gt;0,SUM(H167:L167),"")</f>
        <v/>
      </c>
      <c r="N167" s="29" t="n"/>
      <c r="O167" s="29" t="n"/>
      <c r="P167" s="29">
        <f>IF(N167="","",N167-O167)</f>
        <v/>
      </c>
      <c r="Q167" s="27" t="n"/>
      <c r="R167" s="27" t="n"/>
      <c r="S167" s="28" t="n"/>
      <c r="T167" s="28" t="n"/>
      <c r="U167" s="28" t="n"/>
      <c r="V167" s="27" t="n"/>
    </row>
    <row r="168">
      <c r="A168" s="27" t="n"/>
      <c r="B168" s="28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>
        <f>IF(COUNTA(H168:L168)&gt;0,SUM(H168:L168),"")</f>
        <v/>
      </c>
      <c r="N168" s="29" t="n"/>
      <c r="O168" s="29" t="n"/>
      <c r="P168" s="29">
        <f>IF(N168="","",N168-O168)</f>
        <v/>
      </c>
      <c r="Q168" s="27" t="n"/>
      <c r="R168" s="27" t="n"/>
      <c r="S168" s="28" t="n"/>
      <c r="T168" s="28" t="n"/>
      <c r="U168" s="28" t="n"/>
      <c r="V168" s="27" t="n"/>
    </row>
    <row r="169">
      <c r="A169" s="27" t="n"/>
      <c r="B169" s="28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>
        <f>IF(COUNTA(H169:L169)&gt;0,SUM(H169:L169),"")</f>
        <v/>
      </c>
      <c r="N169" s="29" t="n"/>
      <c r="O169" s="29" t="n"/>
      <c r="P169" s="29">
        <f>IF(N169="","",N169-O169)</f>
        <v/>
      </c>
      <c r="Q169" s="27" t="n"/>
      <c r="R169" s="27" t="n"/>
      <c r="S169" s="28" t="n"/>
      <c r="T169" s="28" t="n"/>
      <c r="U169" s="28" t="n"/>
      <c r="V169" s="27" t="n"/>
    </row>
    <row r="170">
      <c r="A170" s="27" t="n"/>
      <c r="B170" s="28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>
        <f>IF(COUNTA(H170:L170)&gt;0,SUM(H170:L170),"")</f>
        <v/>
      </c>
      <c r="N170" s="29" t="n"/>
      <c r="O170" s="29" t="n"/>
      <c r="P170" s="29">
        <f>IF(N170="","",N170-O170)</f>
        <v/>
      </c>
      <c r="Q170" s="27" t="n"/>
      <c r="R170" s="27" t="n"/>
      <c r="S170" s="28" t="n"/>
      <c r="T170" s="28" t="n"/>
      <c r="U170" s="28" t="n"/>
      <c r="V170" s="27" t="n"/>
    </row>
    <row r="171">
      <c r="A171" s="27" t="n"/>
      <c r="B171" s="28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>
        <f>IF(COUNTA(H171:L171)&gt;0,SUM(H171:L171),"")</f>
        <v/>
      </c>
      <c r="N171" s="29" t="n"/>
      <c r="O171" s="29" t="n"/>
      <c r="P171" s="29">
        <f>IF(N171="","",N171-O171)</f>
        <v/>
      </c>
      <c r="Q171" s="27" t="n"/>
      <c r="R171" s="27" t="n"/>
      <c r="S171" s="28" t="n"/>
      <c r="T171" s="28" t="n"/>
      <c r="U171" s="28" t="n"/>
      <c r="V171" s="27" t="n"/>
    </row>
    <row r="172">
      <c r="A172" s="27" t="n"/>
      <c r="B172" s="28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>
        <f>IF(COUNTA(H172:L172)&gt;0,SUM(H172:L172),"")</f>
        <v/>
      </c>
      <c r="N172" s="29" t="n"/>
      <c r="O172" s="29" t="n"/>
      <c r="P172" s="29">
        <f>IF(N172="","",N172-O172)</f>
        <v/>
      </c>
      <c r="Q172" s="27" t="n"/>
      <c r="R172" s="27" t="n"/>
      <c r="S172" s="28" t="n"/>
      <c r="T172" s="28" t="n"/>
      <c r="U172" s="28" t="n"/>
      <c r="V172" s="27" t="n"/>
    </row>
    <row r="173">
      <c r="A173" s="27" t="n"/>
      <c r="B173" s="28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>
        <f>IF(COUNTA(H173:L173)&gt;0,SUM(H173:L173),"")</f>
        <v/>
      </c>
      <c r="N173" s="29" t="n"/>
      <c r="O173" s="29" t="n"/>
      <c r="P173" s="29">
        <f>IF(N173="","",N173-O173)</f>
        <v/>
      </c>
      <c r="Q173" s="27" t="n"/>
      <c r="R173" s="27" t="n"/>
      <c r="S173" s="28" t="n"/>
      <c r="T173" s="28" t="n"/>
      <c r="U173" s="28" t="n"/>
      <c r="V173" s="27" t="n"/>
    </row>
    <row r="174">
      <c r="A174" s="27" t="n"/>
      <c r="B174" s="28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>
        <f>IF(COUNTA(H174:L174)&gt;0,SUM(H174:L174),"")</f>
        <v/>
      </c>
      <c r="N174" s="29" t="n"/>
      <c r="O174" s="29" t="n"/>
      <c r="P174" s="29">
        <f>IF(N174="","",N174-O174)</f>
        <v/>
      </c>
      <c r="Q174" s="27" t="n"/>
      <c r="R174" s="27" t="n"/>
      <c r="S174" s="28" t="n"/>
      <c r="T174" s="28" t="n"/>
      <c r="U174" s="28" t="n"/>
      <c r="V174" s="27" t="n"/>
    </row>
    <row r="175">
      <c r="A175" s="27" t="n"/>
      <c r="B175" s="28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>
        <f>IF(COUNTA(H175:L175)&gt;0,SUM(H175:L175),"")</f>
        <v/>
      </c>
      <c r="N175" s="29" t="n"/>
      <c r="O175" s="29" t="n"/>
      <c r="P175" s="29">
        <f>IF(N175="","",N175-O175)</f>
        <v/>
      </c>
      <c r="Q175" s="27" t="n"/>
      <c r="R175" s="27" t="n"/>
      <c r="S175" s="28" t="n"/>
      <c r="T175" s="28" t="n"/>
      <c r="U175" s="28" t="n"/>
      <c r="V175" s="27" t="n"/>
    </row>
    <row r="176">
      <c r="A176" s="27" t="n"/>
      <c r="B176" s="28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>
        <f>IF(COUNTA(H176:L176)&gt;0,SUM(H176:L176),"")</f>
        <v/>
      </c>
      <c r="N176" s="29" t="n"/>
      <c r="O176" s="29" t="n"/>
      <c r="P176" s="29">
        <f>IF(N176="","",N176-O176)</f>
        <v/>
      </c>
      <c r="Q176" s="27" t="n"/>
      <c r="R176" s="27" t="n"/>
      <c r="S176" s="28" t="n"/>
      <c r="T176" s="28" t="n"/>
      <c r="U176" s="28" t="n"/>
      <c r="V176" s="27" t="n"/>
    </row>
    <row r="177">
      <c r="A177" s="27" t="n"/>
      <c r="B177" s="28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>
        <f>IF(COUNTA(H177:L177)&gt;0,SUM(H177:L177),"")</f>
        <v/>
      </c>
      <c r="N177" s="29" t="n"/>
      <c r="O177" s="29" t="n"/>
      <c r="P177" s="29">
        <f>IF(N177="","",N177-O177)</f>
        <v/>
      </c>
      <c r="Q177" s="27" t="n"/>
      <c r="R177" s="27" t="n"/>
      <c r="S177" s="28" t="n"/>
      <c r="T177" s="28" t="n"/>
      <c r="U177" s="28" t="n"/>
      <c r="V177" s="27" t="n"/>
    </row>
    <row r="178">
      <c r="A178" s="27" t="n"/>
      <c r="B178" s="28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>
        <f>IF(COUNTA(H178:L178)&gt;0,SUM(H178:L178),"")</f>
        <v/>
      </c>
      <c r="N178" s="29" t="n"/>
      <c r="O178" s="29" t="n"/>
      <c r="P178" s="29">
        <f>IF(N178="","",N178-O178)</f>
        <v/>
      </c>
      <c r="Q178" s="27" t="n"/>
      <c r="R178" s="27" t="n"/>
      <c r="S178" s="28" t="n"/>
      <c r="T178" s="28" t="n"/>
      <c r="U178" s="28" t="n"/>
      <c r="V178" s="27" t="n"/>
    </row>
    <row r="179">
      <c r="A179" s="27" t="n"/>
      <c r="B179" s="28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>
        <f>IF(COUNTA(H179:L179)&gt;0,SUM(H179:L179),"")</f>
        <v/>
      </c>
      <c r="N179" s="29" t="n"/>
      <c r="O179" s="29" t="n"/>
      <c r="P179" s="29">
        <f>IF(N179="","",N179-O179)</f>
        <v/>
      </c>
      <c r="Q179" s="27" t="n"/>
      <c r="R179" s="27" t="n"/>
      <c r="S179" s="28" t="n"/>
      <c r="T179" s="28" t="n"/>
      <c r="U179" s="28" t="n"/>
      <c r="V179" s="27" t="n"/>
    </row>
    <row r="180">
      <c r="A180" s="27" t="n"/>
      <c r="B180" s="28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>
        <f>IF(COUNTA(H180:L180)&gt;0,SUM(H180:L180),"")</f>
        <v/>
      </c>
      <c r="N180" s="29" t="n"/>
      <c r="O180" s="29" t="n"/>
      <c r="P180" s="29">
        <f>IF(N180="","",N180-O180)</f>
        <v/>
      </c>
      <c r="Q180" s="27" t="n"/>
      <c r="R180" s="27" t="n"/>
      <c r="S180" s="28" t="n"/>
      <c r="T180" s="28" t="n"/>
      <c r="U180" s="28" t="n"/>
      <c r="V180" s="27" t="n"/>
    </row>
    <row r="181">
      <c r="A181" s="27" t="n"/>
      <c r="B181" s="28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>
        <f>IF(COUNTA(H181:L181)&gt;0,SUM(H181:L181),"")</f>
        <v/>
      </c>
      <c r="N181" s="29" t="n"/>
      <c r="O181" s="29" t="n"/>
      <c r="P181" s="29">
        <f>IF(N181="","",N181-O181)</f>
        <v/>
      </c>
      <c r="Q181" s="27" t="n"/>
      <c r="R181" s="27" t="n"/>
      <c r="S181" s="28" t="n"/>
      <c r="T181" s="28" t="n"/>
      <c r="U181" s="28" t="n"/>
      <c r="V181" s="27" t="n"/>
    </row>
    <row r="182">
      <c r="A182" s="27" t="n"/>
      <c r="B182" s="28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>
        <f>IF(COUNTA(H182:L182)&gt;0,SUM(H182:L182),"")</f>
        <v/>
      </c>
      <c r="N182" s="29" t="n"/>
      <c r="O182" s="29" t="n"/>
      <c r="P182" s="29">
        <f>IF(N182="","",N182-O182)</f>
        <v/>
      </c>
      <c r="Q182" s="27" t="n"/>
      <c r="R182" s="27" t="n"/>
      <c r="S182" s="28" t="n"/>
      <c r="T182" s="28" t="n"/>
      <c r="U182" s="28" t="n"/>
      <c r="V182" s="27" t="n"/>
    </row>
    <row r="183">
      <c r="A183" s="27" t="n"/>
      <c r="B183" s="28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>
        <f>IF(COUNTA(H183:L183)&gt;0,SUM(H183:L183),"")</f>
        <v/>
      </c>
      <c r="N183" s="29" t="n"/>
      <c r="O183" s="29" t="n"/>
      <c r="P183" s="29">
        <f>IF(N183="","",N183-O183)</f>
        <v/>
      </c>
      <c r="Q183" s="27" t="n"/>
      <c r="R183" s="27" t="n"/>
      <c r="S183" s="28" t="n"/>
      <c r="T183" s="28" t="n"/>
      <c r="U183" s="28" t="n"/>
      <c r="V183" s="27" t="n"/>
    </row>
    <row r="184">
      <c r="A184" s="27" t="n"/>
      <c r="B184" s="28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>
        <f>IF(COUNTA(H184:L184)&gt;0,SUM(H184:L184),"")</f>
        <v/>
      </c>
      <c r="N184" s="29" t="n"/>
      <c r="O184" s="29" t="n"/>
      <c r="P184" s="29">
        <f>IF(N184="","",N184-O184)</f>
        <v/>
      </c>
      <c r="Q184" s="27" t="n"/>
      <c r="R184" s="27" t="n"/>
      <c r="S184" s="28" t="n"/>
      <c r="T184" s="28" t="n"/>
      <c r="U184" s="28" t="n"/>
      <c r="V184" s="27" t="n"/>
    </row>
    <row r="185">
      <c r="A185" s="27" t="n"/>
      <c r="B185" s="28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>
        <f>IF(COUNTA(H185:L185)&gt;0,SUM(H185:L185),"")</f>
        <v/>
      </c>
      <c r="N185" s="29" t="n"/>
      <c r="O185" s="29" t="n"/>
      <c r="P185" s="29">
        <f>IF(N185="","",N185-O185)</f>
        <v/>
      </c>
      <c r="Q185" s="27" t="n"/>
      <c r="R185" s="27" t="n"/>
      <c r="S185" s="28" t="n"/>
      <c r="T185" s="28" t="n"/>
      <c r="U185" s="28" t="n"/>
      <c r="V185" s="27" t="n"/>
    </row>
    <row r="186">
      <c r="A186" s="27" t="n"/>
      <c r="B186" s="28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>
        <f>IF(COUNTA(H186:L186)&gt;0,SUM(H186:L186),"")</f>
        <v/>
      </c>
      <c r="N186" s="29" t="n"/>
      <c r="O186" s="29" t="n"/>
      <c r="P186" s="29">
        <f>IF(N186="","",N186-O186)</f>
        <v/>
      </c>
      <c r="Q186" s="27" t="n"/>
      <c r="R186" s="27" t="n"/>
      <c r="S186" s="28" t="n"/>
      <c r="T186" s="28" t="n"/>
      <c r="U186" s="28" t="n"/>
      <c r="V186" s="27" t="n"/>
    </row>
    <row r="187">
      <c r="A187" s="27" t="n"/>
      <c r="B187" s="28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>
        <f>IF(COUNTA(H187:L187)&gt;0,SUM(H187:L187),"")</f>
        <v/>
      </c>
      <c r="N187" s="29" t="n"/>
      <c r="O187" s="29" t="n"/>
      <c r="P187" s="29">
        <f>IF(N187="","",N187-O187)</f>
        <v/>
      </c>
      <c r="Q187" s="27" t="n"/>
      <c r="R187" s="27" t="n"/>
      <c r="S187" s="28" t="n"/>
      <c r="T187" s="28" t="n"/>
      <c r="U187" s="28" t="n"/>
      <c r="V187" s="27" t="n"/>
    </row>
    <row r="188">
      <c r="A188" s="27" t="n"/>
      <c r="B188" s="28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>
        <f>IF(COUNTA(H188:L188)&gt;0,SUM(H188:L188),"")</f>
        <v/>
      </c>
      <c r="N188" s="29" t="n"/>
      <c r="O188" s="29" t="n"/>
      <c r="P188" s="29">
        <f>IF(N188="","",N188-O188)</f>
        <v/>
      </c>
      <c r="Q188" s="27" t="n"/>
      <c r="R188" s="27" t="n"/>
      <c r="S188" s="28" t="n"/>
      <c r="T188" s="28" t="n"/>
      <c r="U188" s="28" t="n"/>
      <c r="V188" s="27" t="n"/>
    </row>
    <row r="189">
      <c r="A189" s="27" t="n"/>
      <c r="B189" s="28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>
        <f>IF(COUNTA(H189:L189)&gt;0,SUM(H189:L189),"")</f>
        <v/>
      </c>
      <c r="N189" s="29" t="n"/>
      <c r="O189" s="29" t="n"/>
      <c r="P189" s="29">
        <f>IF(N189="","",N189-O189)</f>
        <v/>
      </c>
      <c r="Q189" s="27" t="n"/>
      <c r="R189" s="27" t="n"/>
      <c r="S189" s="28" t="n"/>
      <c r="T189" s="28" t="n"/>
      <c r="U189" s="28" t="n"/>
      <c r="V189" s="27" t="n"/>
    </row>
    <row r="190">
      <c r="A190" s="27" t="n"/>
      <c r="B190" s="28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>
        <f>IF(COUNTA(H190:L190)&gt;0,SUM(H190:L190),"")</f>
        <v/>
      </c>
      <c r="N190" s="29" t="n"/>
      <c r="O190" s="29" t="n"/>
      <c r="P190" s="29">
        <f>IF(N190="","",N190-O190)</f>
        <v/>
      </c>
      <c r="Q190" s="27" t="n"/>
      <c r="R190" s="27" t="n"/>
      <c r="S190" s="28" t="n"/>
      <c r="T190" s="28" t="n"/>
      <c r="U190" s="28" t="n"/>
      <c r="V190" s="27" t="n"/>
    </row>
    <row r="191">
      <c r="A191" s="27" t="n"/>
      <c r="B191" s="28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>
        <f>IF(COUNTA(H191:L191)&gt;0,SUM(H191:L191),"")</f>
        <v/>
      </c>
      <c r="N191" s="29" t="n"/>
      <c r="O191" s="29" t="n"/>
      <c r="P191" s="29">
        <f>IF(N191="","",N191-O191)</f>
        <v/>
      </c>
      <c r="Q191" s="27" t="n"/>
      <c r="R191" s="27" t="n"/>
      <c r="S191" s="28" t="n"/>
      <c r="T191" s="28" t="n"/>
      <c r="U191" s="28" t="n"/>
      <c r="V191" s="27" t="n"/>
    </row>
    <row r="192">
      <c r="A192" s="27" t="n"/>
      <c r="B192" s="28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>
        <f>IF(COUNTA(H192:L192)&gt;0,SUM(H192:L192),"")</f>
        <v/>
      </c>
      <c r="N192" s="29" t="n"/>
      <c r="O192" s="29" t="n"/>
      <c r="P192" s="29">
        <f>IF(N192="","",N192-O192)</f>
        <v/>
      </c>
      <c r="Q192" s="27" t="n"/>
      <c r="R192" s="27" t="n"/>
      <c r="S192" s="28" t="n"/>
      <c r="T192" s="28" t="n"/>
      <c r="U192" s="28" t="n"/>
      <c r="V192" s="27" t="n"/>
    </row>
    <row r="193">
      <c r="A193" s="27" t="n"/>
      <c r="B193" s="28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>
        <f>IF(COUNTA(H193:L193)&gt;0,SUM(H193:L193),"")</f>
        <v/>
      </c>
      <c r="N193" s="29" t="n"/>
      <c r="O193" s="29" t="n"/>
      <c r="P193" s="29">
        <f>IF(N193="","",N193-O193)</f>
        <v/>
      </c>
      <c r="Q193" s="27" t="n"/>
      <c r="R193" s="27" t="n"/>
      <c r="S193" s="28" t="n"/>
      <c r="T193" s="28" t="n"/>
      <c r="U193" s="28" t="n"/>
      <c r="V193" s="27" t="n"/>
    </row>
    <row r="194">
      <c r="A194" s="27" t="n"/>
      <c r="B194" s="28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>
        <f>IF(COUNTA(H194:L194)&gt;0,SUM(H194:L194),"")</f>
        <v/>
      </c>
      <c r="N194" s="29" t="n"/>
      <c r="O194" s="29" t="n"/>
      <c r="P194" s="29">
        <f>IF(N194="","",N194-O194)</f>
        <v/>
      </c>
      <c r="Q194" s="27" t="n"/>
      <c r="R194" s="27" t="n"/>
      <c r="S194" s="28" t="n"/>
      <c r="T194" s="28" t="n"/>
      <c r="U194" s="28" t="n"/>
      <c r="V194" s="27" t="n"/>
    </row>
    <row r="195">
      <c r="A195" s="27" t="n"/>
      <c r="B195" s="28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>
        <f>IF(COUNTA(H195:L195)&gt;0,SUM(H195:L195),"")</f>
        <v/>
      </c>
      <c r="N195" s="29" t="n"/>
      <c r="O195" s="29" t="n"/>
      <c r="P195" s="29">
        <f>IF(N195="","",N195-O195)</f>
        <v/>
      </c>
      <c r="Q195" s="27" t="n"/>
      <c r="R195" s="27" t="n"/>
      <c r="S195" s="28" t="n"/>
      <c r="T195" s="28" t="n"/>
      <c r="U195" s="28" t="n"/>
      <c r="V195" s="27" t="n"/>
    </row>
    <row r="196">
      <c r="A196" s="27" t="n"/>
      <c r="B196" s="28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>
        <f>IF(COUNTA(H196:L196)&gt;0,SUM(H196:L196),"")</f>
        <v/>
      </c>
      <c r="N196" s="29" t="n"/>
      <c r="O196" s="29" t="n"/>
      <c r="P196" s="29">
        <f>IF(N196="","",N196-O196)</f>
        <v/>
      </c>
      <c r="Q196" s="27" t="n"/>
      <c r="R196" s="27" t="n"/>
      <c r="S196" s="28" t="n"/>
      <c r="T196" s="28" t="n"/>
      <c r="U196" s="28" t="n"/>
      <c r="V196" s="27" t="n"/>
    </row>
    <row r="197">
      <c r="A197" s="27" t="n"/>
      <c r="B197" s="28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>
        <f>IF(COUNTA(H197:L197)&gt;0,SUM(H197:L197),"")</f>
        <v/>
      </c>
      <c r="N197" s="29" t="n"/>
      <c r="O197" s="29" t="n"/>
      <c r="P197" s="29">
        <f>IF(N197="","",N197-O197)</f>
        <v/>
      </c>
      <c r="Q197" s="27" t="n"/>
      <c r="R197" s="27" t="n"/>
      <c r="S197" s="28" t="n"/>
      <c r="T197" s="28" t="n"/>
      <c r="U197" s="28" t="n"/>
      <c r="V197" s="27" t="n"/>
    </row>
    <row r="198">
      <c r="A198" s="27" t="n"/>
      <c r="B198" s="28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>
        <f>IF(COUNTA(H198:L198)&gt;0,SUM(H198:L198),"")</f>
        <v/>
      </c>
      <c r="N198" s="29" t="n"/>
      <c r="O198" s="29" t="n"/>
      <c r="P198" s="29">
        <f>IF(N198="","",N198-O198)</f>
        <v/>
      </c>
      <c r="Q198" s="27" t="n"/>
      <c r="R198" s="27" t="n"/>
      <c r="S198" s="28" t="n"/>
      <c r="T198" s="28" t="n"/>
      <c r="U198" s="28" t="n"/>
      <c r="V198" s="27" t="n"/>
    </row>
    <row r="199">
      <c r="A199" s="27" t="n"/>
      <c r="B199" s="28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>
        <f>IF(COUNTA(H199:L199)&gt;0,SUM(H199:L199),"")</f>
        <v/>
      </c>
      <c r="N199" s="29" t="n"/>
      <c r="O199" s="29" t="n"/>
      <c r="P199" s="29">
        <f>IF(N199="","",N199-O199)</f>
        <v/>
      </c>
      <c r="Q199" s="27" t="n"/>
      <c r="R199" s="27" t="n"/>
      <c r="S199" s="28" t="n"/>
      <c r="T199" s="28" t="n"/>
      <c r="U199" s="28" t="n"/>
      <c r="V199" s="27" t="n"/>
    </row>
    <row r="200">
      <c r="A200" s="27" t="n"/>
      <c r="B200" s="28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>
        <f>IF(COUNTA(H200:L200)&gt;0,SUM(H200:L200),"")</f>
        <v/>
      </c>
      <c r="N200" s="29" t="n"/>
      <c r="O200" s="29" t="n"/>
      <c r="P200" s="29">
        <f>IF(N200="","",N200-O200)</f>
        <v/>
      </c>
      <c r="Q200" s="27" t="n"/>
      <c r="R200" s="27" t="n"/>
      <c r="S200" s="28" t="n"/>
      <c r="T200" s="28" t="n"/>
      <c r="U200" s="28" t="n"/>
      <c r="V200" s="27" t="n"/>
    </row>
    <row r="201">
      <c r="A201" s="27" t="n"/>
      <c r="B201" s="28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>
        <f>IF(COUNTA(H201:L201)&gt;0,SUM(H201:L201),"")</f>
        <v/>
      </c>
      <c r="N201" s="29" t="n"/>
      <c r="O201" s="29" t="n"/>
      <c r="P201" s="29">
        <f>IF(N201="","",N201-O201)</f>
        <v/>
      </c>
      <c r="Q201" s="27" t="n"/>
      <c r="R201" s="27" t="n"/>
      <c r="S201" s="28" t="n"/>
      <c r="T201" s="28" t="n"/>
      <c r="U201" s="28" t="n"/>
      <c r="V201" s="27" t="n"/>
    </row>
    <row r="202">
      <c r="A202" s="27" t="n"/>
      <c r="B202" s="28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>
        <f>IF(COUNTA(H202:L202)&gt;0,SUM(H202:L202),"")</f>
        <v/>
      </c>
      <c r="N202" s="29" t="n"/>
      <c r="O202" s="29" t="n"/>
      <c r="P202" s="29">
        <f>IF(N202="","",N202-O202)</f>
        <v/>
      </c>
      <c r="Q202" s="27" t="n"/>
      <c r="R202" s="27" t="n"/>
      <c r="S202" s="28" t="n"/>
      <c r="T202" s="28" t="n"/>
      <c r="U202" s="28" t="n"/>
      <c r="V202" s="27" t="n"/>
    </row>
    <row r="203">
      <c r="A203" s="27" t="n"/>
      <c r="B203" s="28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>
        <f>IF(COUNTA(H203:L203)&gt;0,SUM(H203:L203),"")</f>
        <v/>
      </c>
      <c r="N203" s="29" t="n"/>
      <c r="O203" s="29" t="n"/>
      <c r="P203" s="29">
        <f>IF(N203="","",N203-O203)</f>
        <v/>
      </c>
      <c r="Q203" s="27" t="n"/>
      <c r="R203" s="27" t="n"/>
      <c r="S203" s="28" t="n"/>
      <c r="T203" s="28" t="n"/>
      <c r="U203" s="28" t="n"/>
      <c r="V203" s="27" t="n"/>
    </row>
    <row r="204">
      <c r="A204" s="27" t="n"/>
      <c r="B204" s="28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>
        <f>IF(COUNTA(H204:L204)&gt;0,SUM(H204:L204),"")</f>
        <v/>
      </c>
      <c r="N204" s="29" t="n"/>
      <c r="O204" s="29" t="n"/>
      <c r="P204" s="29">
        <f>IF(N204="","",N204-O204)</f>
        <v/>
      </c>
      <c r="Q204" s="27" t="n"/>
      <c r="R204" s="27" t="n"/>
      <c r="S204" s="28" t="n"/>
      <c r="T204" s="28" t="n"/>
      <c r="U204" s="28" t="n"/>
      <c r="V204" s="27" t="n"/>
    </row>
    <row r="205">
      <c r="A205" s="27" t="n"/>
      <c r="B205" s="28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>
        <f>IF(COUNTA(H205:L205)&gt;0,SUM(H205:L205),"")</f>
        <v/>
      </c>
      <c r="N205" s="29" t="n"/>
      <c r="O205" s="29" t="n"/>
      <c r="P205" s="29">
        <f>IF(N205="","",N205-O205)</f>
        <v/>
      </c>
      <c r="Q205" s="27" t="n"/>
      <c r="R205" s="27" t="n"/>
      <c r="S205" s="28" t="n"/>
      <c r="T205" s="28" t="n"/>
      <c r="U205" s="28" t="n"/>
      <c r="V205" s="27" t="n"/>
    </row>
    <row r="206">
      <c r="A206" s="27" t="n"/>
      <c r="B206" s="28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>
        <f>IF(COUNTA(H206:L206)&gt;0,SUM(H206:L206),"")</f>
        <v/>
      </c>
      <c r="N206" s="29" t="n"/>
      <c r="O206" s="29" t="n"/>
      <c r="P206" s="29">
        <f>IF(N206="","",N206-O206)</f>
        <v/>
      </c>
      <c r="Q206" s="27" t="n"/>
      <c r="R206" s="27" t="n"/>
      <c r="S206" s="28" t="n"/>
      <c r="T206" s="28" t="n"/>
      <c r="U206" s="28" t="n"/>
      <c r="V206" s="27" t="n"/>
    </row>
    <row r="207">
      <c r="A207" s="27" t="n"/>
      <c r="B207" s="28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>
        <f>IF(COUNTA(H207:L207)&gt;0,SUM(H207:L207),"")</f>
        <v/>
      </c>
      <c r="N207" s="29" t="n"/>
      <c r="O207" s="29" t="n"/>
      <c r="P207" s="29">
        <f>IF(N207="","",N207-O207)</f>
        <v/>
      </c>
      <c r="Q207" s="27" t="n"/>
      <c r="R207" s="27" t="n"/>
      <c r="S207" s="28" t="n"/>
      <c r="T207" s="28" t="n"/>
      <c r="U207" s="28" t="n"/>
      <c r="V207" s="27" t="n"/>
    </row>
    <row r="208">
      <c r="A208" s="27" t="n"/>
      <c r="B208" s="28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>
        <f>IF(COUNTA(H208:L208)&gt;0,SUM(H208:L208),"")</f>
        <v/>
      </c>
      <c r="N208" s="29" t="n"/>
      <c r="O208" s="29" t="n"/>
      <c r="P208" s="29">
        <f>IF(N208="","",N208-O208)</f>
        <v/>
      </c>
      <c r="Q208" s="27" t="n"/>
      <c r="R208" s="27" t="n"/>
      <c r="S208" s="28" t="n"/>
      <c r="T208" s="28" t="n"/>
      <c r="U208" s="28" t="n"/>
      <c r="V208" s="27" t="n"/>
    </row>
    <row r="209">
      <c r="A209" s="27" t="n"/>
      <c r="B209" s="28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>
        <f>IF(COUNTA(H209:L209)&gt;0,SUM(H209:L209),"")</f>
        <v/>
      </c>
      <c r="N209" s="29" t="n"/>
      <c r="O209" s="29" t="n"/>
      <c r="P209" s="29">
        <f>IF(N209="","",N209-O209)</f>
        <v/>
      </c>
      <c r="Q209" s="27" t="n"/>
      <c r="R209" s="27" t="n"/>
      <c r="S209" s="28" t="n"/>
      <c r="T209" s="28" t="n"/>
      <c r="U209" s="28" t="n"/>
      <c r="V209" s="27" t="n"/>
    </row>
    <row r="210">
      <c r="A210" s="27" t="n"/>
      <c r="B210" s="28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>
        <f>IF(COUNTA(H210:L210)&gt;0,SUM(H210:L210),"")</f>
        <v/>
      </c>
      <c r="N210" s="29" t="n"/>
      <c r="O210" s="29" t="n"/>
      <c r="P210" s="29">
        <f>IF(N210="","",N210-O210)</f>
        <v/>
      </c>
      <c r="Q210" s="27" t="n"/>
      <c r="R210" s="27" t="n"/>
      <c r="S210" s="28" t="n"/>
      <c r="T210" s="28" t="n"/>
      <c r="U210" s="28" t="n"/>
      <c r="V210" s="27" t="n"/>
    </row>
    <row r="211">
      <c r="A211" s="27" t="n"/>
      <c r="B211" s="28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>
        <f>IF(COUNTA(H211:L211)&gt;0,SUM(H211:L211),"")</f>
        <v/>
      </c>
      <c r="N211" s="29" t="n"/>
      <c r="O211" s="29" t="n"/>
      <c r="P211" s="29">
        <f>IF(N211="","",N211-O211)</f>
        <v/>
      </c>
      <c r="Q211" s="27" t="n"/>
      <c r="R211" s="27" t="n"/>
      <c r="S211" s="28" t="n"/>
      <c r="T211" s="28" t="n"/>
      <c r="U211" s="28" t="n"/>
      <c r="V211" s="27" t="n"/>
    </row>
    <row r="212">
      <c r="A212" s="27" t="n"/>
      <c r="B212" s="28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>
        <f>IF(COUNTA(H212:L212)&gt;0,SUM(H212:L212),"")</f>
        <v/>
      </c>
      <c r="N212" s="29" t="n"/>
      <c r="O212" s="29" t="n"/>
      <c r="P212" s="29">
        <f>IF(N212="","",N212-O212)</f>
        <v/>
      </c>
      <c r="Q212" s="27" t="n"/>
      <c r="R212" s="27" t="n"/>
      <c r="S212" s="28" t="n"/>
      <c r="T212" s="28" t="n"/>
      <c r="U212" s="28" t="n"/>
      <c r="V212" s="27" t="n"/>
    </row>
    <row r="213">
      <c r="A213" s="27" t="n"/>
      <c r="B213" s="28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>
        <f>IF(COUNTA(H213:L213)&gt;0,SUM(H213:L213),"")</f>
        <v/>
      </c>
      <c r="N213" s="29" t="n"/>
      <c r="O213" s="29" t="n"/>
      <c r="P213" s="29">
        <f>IF(N213="","",N213-O213)</f>
        <v/>
      </c>
      <c r="Q213" s="27" t="n"/>
      <c r="R213" s="27" t="n"/>
      <c r="S213" s="28" t="n"/>
      <c r="T213" s="28" t="n"/>
      <c r="U213" s="28" t="n"/>
      <c r="V213" s="27" t="n"/>
    </row>
    <row r="214">
      <c r="A214" s="27" t="n"/>
      <c r="B214" s="28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>
        <f>IF(COUNTA(H214:L214)&gt;0,SUM(H214:L214),"")</f>
        <v/>
      </c>
      <c r="N214" s="29" t="n"/>
      <c r="O214" s="29" t="n"/>
      <c r="P214" s="29">
        <f>IF(N214="","",N214-O214)</f>
        <v/>
      </c>
      <c r="Q214" s="27" t="n"/>
      <c r="R214" s="27" t="n"/>
      <c r="S214" s="28" t="n"/>
      <c r="T214" s="28" t="n"/>
      <c r="U214" s="28" t="n"/>
      <c r="V214" s="27" t="n"/>
    </row>
    <row r="215">
      <c r="A215" s="27" t="n"/>
      <c r="B215" s="28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>
        <f>IF(COUNTA(H215:L215)&gt;0,SUM(H215:L215),"")</f>
        <v/>
      </c>
      <c r="N215" s="29" t="n"/>
      <c r="O215" s="29" t="n"/>
      <c r="P215" s="29">
        <f>IF(N215="","",N215-O215)</f>
        <v/>
      </c>
      <c r="Q215" s="27" t="n"/>
      <c r="R215" s="27" t="n"/>
      <c r="S215" s="28" t="n"/>
      <c r="T215" s="28" t="n"/>
      <c r="U215" s="28" t="n"/>
      <c r="V215" s="27" t="n"/>
    </row>
    <row r="216">
      <c r="A216" s="27" t="n"/>
      <c r="B216" s="28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>
        <f>IF(COUNTA(H216:L216)&gt;0,SUM(H216:L216),"")</f>
        <v/>
      </c>
      <c r="N216" s="29" t="n"/>
      <c r="O216" s="29" t="n"/>
      <c r="P216" s="29">
        <f>IF(N216="","",N216-O216)</f>
        <v/>
      </c>
      <c r="Q216" s="27" t="n"/>
      <c r="R216" s="27" t="n"/>
      <c r="S216" s="28" t="n"/>
      <c r="T216" s="28" t="n"/>
      <c r="U216" s="28" t="n"/>
      <c r="V216" s="27" t="n"/>
    </row>
    <row r="217">
      <c r="A217" s="27" t="n"/>
      <c r="B217" s="28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>
        <f>IF(COUNTA(H217:L217)&gt;0,SUM(H217:L217),"")</f>
        <v/>
      </c>
      <c r="N217" s="29" t="n"/>
      <c r="O217" s="29" t="n"/>
      <c r="P217" s="29">
        <f>IF(N217="","",N217-O217)</f>
        <v/>
      </c>
      <c r="Q217" s="27" t="n"/>
      <c r="R217" s="27" t="n"/>
      <c r="S217" s="28" t="n"/>
      <c r="T217" s="28" t="n"/>
      <c r="U217" s="28" t="n"/>
      <c r="V217" s="27" t="n"/>
    </row>
    <row r="218">
      <c r="A218" s="27" t="n"/>
      <c r="B218" s="28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>
        <f>IF(COUNTA(H218:L218)&gt;0,SUM(H218:L218),"")</f>
        <v/>
      </c>
      <c r="N218" s="29" t="n"/>
      <c r="O218" s="29" t="n"/>
      <c r="P218" s="29">
        <f>IF(N218="","",N218-O218)</f>
        <v/>
      </c>
      <c r="Q218" s="27" t="n"/>
      <c r="R218" s="27" t="n"/>
      <c r="S218" s="28" t="n"/>
      <c r="T218" s="28" t="n"/>
      <c r="U218" s="28" t="n"/>
      <c r="V218" s="27" t="n"/>
    </row>
    <row r="219">
      <c r="A219" s="27" t="n"/>
      <c r="B219" s="28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>
        <f>IF(COUNTA(H219:L219)&gt;0,SUM(H219:L219),"")</f>
        <v/>
      </c>
      <c r="N219" s="29" t="n"/>
      <c r="O219" s="29" t="n"/>
      <c r="P219" s="29">
        <f>IF(N219="","",N219-O219)</f>
        <v/>
      </c>
      <c r="Q219" s="27" t="n"/>
      <c r="R219" s="27" t="n"/>
      <c r="S219" s="28" t="n"/>
      <c r="T219" s="28" t="n"/>
      <c r="U219" s="28" t="n"/>
      <c r="V219" s="27" t="n"/>
    </row>
    <row r="220">
      <c r="A220" s="27" t="n"/>
      <c r="B220" s="28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>
        <f>IF(COUNTA(H220:L220)&gt;0,SUM(H220:L220),"")</f>
        <v/>
      </c>
      <c r="N220" s="29" t="n"/>
      <c r="O220" s="29" t="n"/>
      <c r="P220" s="29">
        <f>IF(N220="","",N220-O220)</f>
        <v/>
      </c>
      <c r="Q220" s="27" t="n"/>
      <c r="R220" s="27" t="n"/>
      <c r="S220" s="28" t="n"/>
      <c r="T220" s="28" t="n"/>
      <c r="U220" s="28" t="n"/>
      <c r="V220" s="27" t="n"/>
    </row>
    <row r="221">
      <c r="A221" s="27" t="n"/>
      <c r="B221" s="28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>
        <f>IF(COUNTA(H221:L221)&gt;0,SUM(H221:L221),"")</f>
        <v/>
      </c>
      <c r="N221" s="29" t="n"/>
      <c r="O221" s="29" t="n"/>
      <c r="P221" s="29">
        <f>IF(N221="","",N221-O221)</f>
        <v/>
      </c>
      <c r="Q221" s="27" t="n"/>
      <c r="R221" s="27" t="n"/>
      <c r="S221" s="28" t="n"/>
      <c r="T221" s="28" t="n"/>
      <c r="U221" s="28" t="n"/>
      <c r="V221" s="27" t="n"/>
    </row>
    <row r="222">
      <c r="A222" s="27" t="n"/>
      <c r="B222" s="28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>
        <f>IF(COUNTA(H222:L222)&gt;0,SUM(H222:L222),"")</f>
        <v/>
      </c>
      <c r="N222" s="29" t="n"/>
      <c r="O222" s="29" t="n"/>
      <c r="P222" s="29">
        <f>IF(N222="","",N222-O222)</f>
        <v/>
      </c>
      <c r="Q222" s="27" t="n"/>
      <c r="R222" s="27" t="n"/>
      <c r="S222" s="28" t="n"/>
      <c r="T222" s="28" t="n"/>
      <c r="U222" s="28" t="n"/>
      <c r="V222" s="27" t="n"/>
    </row>
    <row r="223">
      <c r="A223" s="27" t="n"/>
      <c r="B223" s="28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>
        <f>IF(COUNTA(H223:L223)&gt;0,SUM(H223:L223),"")</f>
        <v/>
      </c>
      <c r="N223" s="29" t="n"/>
      <c r="O223" s="29" t="n"/>
      <c r="P223" s="29">
        <f>IF(N223="","",N223-O223)</f>
        <v/>
      </c>
      <c r="Q223" s="27" t="n"/>
      <c r="R223" s="27" t="n"/>
      <c r="S223" s="28" t="n"/>
      <c r="T223" s="28" t="n"/>
      <c r="U223" s="28" t="n"/>
      <c r="V223" s="27" t="n"/>
    </row>
    <row r="224">
      <c r="A224" s="27" t="n"/>
      <c r="B224" s="28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>
        <f>IF(COUNTA(H224:L224)&gt;0,SUM(H224:L224),"")</f>
        <v/>
      </c>
      <c r="N224" s="29" t="n"/>
      <c r="O224" s="29" t="n"/>
      <c r="P224" s="29">
        <f>IF(N224="","",N224-O224)</f>
        <v/>
      </c>
      <c r="Q224" s="27" t="n"/>
      <c r="R224" s="27" t="n"/>
      <c r="S224" s="28" t="n"/>
      <c r="T224" s="28" t="n"/>
      <c r="U224" s="28" t="n"/>
      <c r="V224" s="27" t="n"/>
    </row>
    <row r="225">
      <c r="A225" s="27" t="n"/>
      <c r="B225" s="28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>
        <f>IF(COUNTA(H225:L225)&gt;0,SUM(H225:L225),"")</f>
        <v/>
      </c>
      <c r="N225" s="29" t="n"/>
      <c r="O225" s="29" t="n"/>
      <c r="P225" s="29">
        <f>IF(N225="","",N225-O225)</f>
        <v/>
      </c>
      <c r="Q225" s="27" t="n"/>
      <c r="R225" s="27" t="n"/>
      <c r="S225" s="28" t="n"/>
      <c r="T225" s="28" t="n"/>
      <c r="U225" s="28" t="n"/>
      <c r="V225" s="27" t="n"/>
    </row>
    <row r="226">
      <c r="A226" s="27" t="n"/>
      <c r="B226" s="28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>
        <f>IF(COUNTA(H226:L226)&gt;0,SUM(H226:L226),"")</f>
        <v/>
      </c>
      <c r="N226" s="29" t="n"/>
      <c r="O226" s="29" t="n"/>
      <c r="P226" s="29">
        <f>IF(N226="","",N226-O226)</f>
        <v/>
      </c>
      <c r="Q226" s="27" t="n"/>
      <c r="R226" s="27" t="n"/>
      <c r="S226" s="28" t="n"/>
      <c r="T226" s="28" t="n"/>
      <c r="U226" s="28" t="n"/>
      <c r="V226" s="27" t="n"/>
    </row>
    <row r="227">
      <c r="A227" s="27" t="n"/>
      <c r="B227" s="28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>
        <f>IF(COUNTA(H227:L227)&gt;0,SUM(H227:L227),"")</f>
        <v/>
      </c>
      <c r="N227" s="29" t="n"/>
      <c r="O227" s="29" t="n"/>
      <c r="P227" s="29">
        <f>IF(N227="","",N227-O227)</f>
        <v/>
      </c>
      <c r="Q227" s="27" t="n"/>
      <c r="R227" s="27" t="n"/>
      <c r="S227" s="28" t="n"/>
      <c r="T227" s="28" t="n"/>
      <c r="U227" s="28" t="n"/>
      <c r="V227" s="27" t="n"/>
    </row>
    <row r="228">
      <c r="A228" s="27" t="n"/>
      <c r="B228" s="28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>
        <f>IF(COUNTA(H228:L228)&gt;0,SUM(H228:L228),"")</f>
        <v/>
      </c>
      <c r="N228" s="29" t="n"/>
      <c r="O228" s="29" t="n"/>
      <c r="P228" s="29">
        <f>IF(N228="","",N228-O228)</f>
        <v/>
      </c>
      <c r="Q228" s="27" t="n"/>
      <c r="R228" s="27" t="n"/>
      <c r="S228" s="28" t="n"/>
      <c r="T228" s="28" t="n"/>
      <c r="U228" s="28" t="n"/>
      <c r="V228" s="27" t="n"/>
    </row>
    <row r="229">
      <c r="A229" s="27" t="n"/>
      <c r="B229" s="28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>
        <f>IF(COUNTA(H229:L229)&gt;0,SUM(H229:L229),"")</f>
        <v/>
      </c>
      <c r="N229" s="29" t="n"/>
      <c r="O229" s="29" t="n"/>
      <c r="P229" s="29">
        <f>IF(N229="","",N229-O229)</f>
        <v/>
      </c>
      <c r="Q229" s="27" t="n"/>
      <c r="R229" s="27" t="n"/>
      <c r="S229" s="28" t="n"/>
      <c r="T229" s="28" t="n"/>
      <c r="U229" s="28" t="n"/>
      <c r="V229" s="27" t="n"/>
    </row>
    <row r="230">
      <c r="A230" s="27" t="n"/>
      <c r="B230" s="28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>
        <f>IF(COUNTA(H230:L230)&gt;0,SUM(H230:L230),"")</f>
        <v/>
      </c>
      <c r="N230" s="29" t="n"/>
      <c r="O230" s="29" t="n"/>
      <c r="P230" s="29">
        <f>IF(N230="","",N230-O230)</f>
        <v/>
      </c>
      <c r="Q230" s="27" t="n"/>
      <c r="R230" s="27" t="n"/>
      <c r="S230" s="28" t="n"/>
      <c r="T230" s="28" t="n"/>
      <c r="U230" s="28" t="n"/>
      <c r="V230" s="27" t="n"/>
    </row>
    <row r="231">
      <c r="A231" s="27" t="n"/>
      <c r="B231" s="28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>
        <f>IF(COUNTA(H231:L231)&gt;0,SUM(H231:L231),"")</f>
        <v/>
      </c>
      <c r="N231" s="29" t="n"/>
      <c r="O231" s="29" t="n"/>
      <c r="P231" s="29">
        <f>IF(N231="","",N231-O231)</f>
        <v/>
      </c>
      <c r="Q231" s="27" t="n"/>
      <c r="R231" s="27" t="n"/>
      <c r="S231" s="28" t="n"/>
      <c r="T231" s="28" t="n"/>
      <c r="U231" s="28" t="n"/>
      <c r="V231" s="27" t="n"/>
    </row>
    <row r="232">
      <c r="A232" s="27" t="n"/>
      <c r="B232" s="28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>
        <f>IF(COUNTA(H232:L232)&gt;0,SUM(H232:L232),"")</f>
        <v/>
      </c>
      <c r="N232" s="29" t="n"/>
      <c r="O232" s="29" t="n"/>
      <c r="P232" s="29">
        <f>IF(N232="","",N232-O232)</f>
        <v/>
      </c>
      <c r="Q232" s="27" t="n"/>
      <c r="R232" s="27" t="n"/>
      <c r="S232" s="28" t="n"/>
      <c r="T232" s="28" t="n"/>
      <c r="U232" s="28" t="n"/>
      <c r="V232" s="27" t="n"/>
    </row>
    <row r="233">
      <c r="A233" s="27" t="n"/>
      <c r="B233" s="28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>
        <f>IF(COUNTA(H233:L233)&gt;0,SUM(H233:L233),"")</f>
        <v/>
      </c>
      <c r="N233" s="29" t="n"/>
      <c r="O233" s="29" t="n"/>
      <c r="P233" s="29">
        <f>IF(N233="","",N233-O233)</f>
        <v/>
      </c>
      <c r="Q233" s="27" t="n"/>
      <c r="R233" s="27" t="n"/>
      <c r="S233" s="28" t="n"/>
      <c r="T233" s="28" t="n"/>
      <c r="U233" s="28" t="n"/>
      <c r="V233" s="27" t="n"/>
    </row>
    <row r="234">
      <c r="A234" s="27" t="n"/>
      <c r="B234" s="28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>
        <f>IF(COUNTA(H234:L234)&gt;0,SUM(H234:L234),"")</f>
        <v/>
      </c>
      <c r="N234" s="29" t="n"/>
      <c r="O234" s="29" t="n"/>
      <c r="P234" s="29">
        <f>IF(N234="","",N234-O234)</f>
        <v/>
      </c>
      <c r="Q234" s="27" t="n"/>
      <c r="R234" s="27" t="n"/>
      <c r="S234" s="28" t="n"/>
      <c r="T234" s="28" t="n"/>
      <c r="U234" s="28" t="n"/>
      <c r="V234" s="27" t="n"/>
    </row>
    <row r="235">
      <c r="A235" s="27" t="n"/>
      <c r="B235" s="28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>
        <f>IF(COUNTA(H235:L235)&gt;0,SUM(H235:L235),"")</f>
        <v/>
      </c>
      <c r="N235" s="29" t="n"/>
      <c r="O235" s="29" t="n"/>
      <c r="P235" s="29">
        <f>IF(N235="","",N235-O235)</f>
        <v/>
      </c>
      <c r="Q235" s="27" t="n"/>
      <c r="R235" s="27" t="n"/>
      <c r="S235" s="28" t="n"/>
      <c r="T235" s="28" t="n"/>
      <c r="U235" s="28" t="n"/>
      <c r="V235" s="27" t="n"/>
    </row>
    <row r="236">
      <c r="A236" s="27" t="n"/>
      <c r="B236" s="28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>
        <f>IF(COUNTA(H236:L236)&gt;0,SUM(H236:L236),"")</f>
        <v/>
      </c>
      <c r="N236" s="29" t="n"/>
      <c r="O236" s="29" t="n"/>
      <c r="P236" s="29">
        <f>IF(N236="","",N236-O236)</f>
        <v/>
      </c>
      <c r="Q236" s="27" t="n"/>
      <c r="R236" s="27" t="n"/>
      <c r="S236" s="28" t="n"/>
      <c r="T236" s="28" t="n"/>
      <c r="U236" s="28" t="n"/>
      <c r="V236" s="27" t="n"/>
    </row>
    <row r="237">
      <c r="A237" s="27" t="n"/>
      <c r="B237" s="28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>
        <f>IF(COUNTA(H237:L237)&gt;0,SUM(H237:L237),"")</f>
        <v/>
      </c>
      <c r="N237" s="29" t="n"/>
      <c r="O237" s="29" t="n"/>
      <c r="P237" s="29">
        <f>IF(N237="","",N237-O237)</f>
        <v/>
      </c>
      <c r="Q237" s="27" t="n"/>
      <c r="R237" s="27" t="n"/>
      <c r="S237" s="28" t="n"/>
      <c r="T237" s="28" t="n"/>
      <c r="U237" s="28" t="n"/>
      <c r="V237" s="27" t="n"/>
    </row>
    <row r="238">
      <c r="A238" s="27" t="n"/>
      <c r="B238" s="28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>
        <f>IF(COUNTA(H238:L238)&gt;0,SUM(H238:L238),"")</f>
        <v/>
      </c>
      <c r="N238" s="29" t="n"/>
      <c r="O238" s="29" t="n"/>
      <c r="P238" s="29">
        <f>IF(N238="","",N238-O238)</f>
        <v/>
      </c>
      <c r="Q238" s="27" t="n"/>
      <c r="R238" s="27" t="n"/>
      <c r="S238" s="28" t="n"/>
      <c r="T238" s="28" t="n"/>
      <c r="U238" s="28" t="n"/>
      <c r="V238" s="27" t="n"/>
    </row>
    <row r="239">
      <c r="A239" s="27" t="n"/>
      <c r="B239" s="28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>
        <f>IF(COUNTA(H239:L239)&gt;0,SUM(H239:L239),"")</f>
        <v/>
      </c>
      <c r="N239" s="29" t="n"/>
      <c r="O239" s="29" t="n"/>
      <c r="P239" s="29">
        <f>IF(N239="","",N239-O239)</f>
        <v/>
      </c>
      <c r="Q239" s="27" t="n"/>
      <c r="R239" s="27" t="n"/>
      <c r="S239" s="28" t="n"/>
      <c r="T239" s="28" t="n"/>
      <c r="U239" s="28" t="n"/>
      <c r="V239" s="27" t="n"/>
    </row>
    <row r="240">
      <c r="A240" s="27" t="n"/>
      <c r="B240" s="28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>
        <f>IF(COUNTA(H240:L240)&gt;0,SUM(H240:L240),"")</f>
        <v/>
      </c>
      <c r="N240" s="29" t="n"/>
      <c r="O240" s="29" t="n"/>
      <c r="P240" s="29">
        <f>IF(N240="","",N240-O240)</f>
        <v/>
      </c>
      <c r="Q240" s="27" t="n"/>
      <c r="R240" s="27" t="n"/>
      <c r="S240" s="28" t="n"/>
      <c r="T240" s="28" t="n"/>
      <c r="U240" s="28" t="n"/>
      <c r="V240" s="27" t="n"/>
    </row>
    <row r="241">
      <c r="A241" s="27" t="n"/>
      <c r="B241" s="28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>
        <f>IF(COUNTA(H241:L241)&gt;0,SUM(H241:L241),"")</f>
        <v/>
      </c>
      <c r="N241" s="29" t="n"/>
      <c r="O241" s="29" t="n"/>
      <c r="P241" s="29">
        <f>IF(N241="","",N241-O241)</f>
        <v/>
      </c>
      <c r="Q241" s="27" t="n"/>
      <c r="R241" s="27" t="n"/>
      <c r="S241" s="28" t="n"/>
      <c r="T241" s="28" t="n"/>
      <c r="U241" s="28" t="n"/>
      <c r="V241" s="27" t="n"/>
    </row>
    <row r="242">
      <c r="A242" s="27" t="n"/>
      <c r="B242" s="28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>
        <f>IF(COUNTA(H242:L242)&gt;0,SUM(H242:L242),"")</f>
        <v/>
      </c>
      <c r="N242" s="29" t="n"/>
      <c r="O242" s="29" t="n"/>
      <c r="P242" s="29">
        <f>IF(N242="","",N242-O242)</f>
        <v/>
      </c>
      <c r="Q242" s="27" t="n"/>
      <c r="R242" s="27" t="n"/>
      <c r="S242" s="28" t="n"/>
      <c r="T242" s="28" t="n"/>
      <c r="U242" s="28" t="n"/>
      <c r="V242" s="27" t="n"/>
    </row>
    <row r="243">
      <c r="A243" s="27" t="n"/>
      <c r="B243" s="28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>
        <f>IF(COUNTA(H243:L243)&gt;0,SUM(H243:L243),"")</f>
        <v/>
      </c>
      <c r="N243" s="29" t="n"/>
      <c r="O243" s="29" t="n"/>
      <c r="P243" s="29">
        <f>IF(N243="","",N243-O243)</f>
        <v/>
      </c>
      <c r="Q243" s="27" t="n"/>
      <c r="R243" s="27" t="n"/>
      <c r="S243" s="28" t="n"/>
      <c r="T243" s="28" t="n"/>
      <c r="U243" s="28" t="n"/>
      <c r="V243" s="27" t="n"/>
    </row>
    <row r="244">
      <c r="A244" s="27" t="n"/>
      <c r="B244" s="28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>
        <f>IF(COUNTA(H244:L244)&gt;0,SUM(H244:L244),"")</f>
        <v/>
      </c>
      <c r="N244" s="29" t="n"/>
      <c r="O244" s="29" t="n"/>
      <c r="P244" s="29">
        <f>IF(N244="","",N244-O244)</f>
        <v/>
      </c>
      <c r="Q244" s="27" t="n"/>
      <c r="R244" s="27" t="n"/>
      <c r="S244" s="28" t="n"/>
      <c r="T244" s="28" t="n"/>
      <c r="U244" s="28" t="n"/>
      <c r="V244" s="27" t="n"/>
    </row>
    <row r="245">
      <c r="A245" s="27" t="n"/>
      <c r="B245" s="28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>
        <f>IF(COUNTA(H245:L245)&gt;0,SUM(H245:L245),"")</f>
        <v/>
      </c>
      <c r="N245" s="29" t="n"/>
      <c r="O245" s="29" t="n"/>
      <c r="P245" s="29">
        <f>IF(N245="","",N245-O245)</f>
        <v/>
      </c>
      <c r="Q245" s="27" t="n"/>
      <c r="R245" s="27" t="n"/>
      <c r="S245" s="28" t="n"/>
      <c r="T245" s="28" t="n"/>
      <c r="U245" s="28" t="n"/>
      <c r="V245" s="27" t="n"/>
    </row>
    <row r="246">
      <c r="A246" s="27" t="n"/>
      <c r="B246" s="28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>
        <f>IF(COUNTA(H246:L246)&gt;0,SUM(H246:L246),"")</f>
        <v/>
      </c>
      <c r="N246" s="29" t="n"/>
      <c r="O246" s="29" t="n"/>
      <c r="P246" s="29">
        <f>IF(N246="","",N246-O246)</f>
        <v/>
      </c>
      <c r="Q246" s="27" t="n"/>
      <c r="R246" s="27" t="n"/>
      <c r="S246" s="28" t="n"/>
      <c r="T246" s="28" t="n"/>
      <c r="U246" s="28" t="n"/>
      <c r="V246" s="27" t="n"/>
    </row>
    <row r="247">
      <c r="A247" s="27" t="n"/>
      <c r="B247" s="28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>
        <f>IF(COUNTA(H247:L247)&gt;0,SUM(H247:L247),"")</f>
        <v/>
      </c>
      <c r="N247" s="29" t="n"/>
      <c r="O247" s="29" t="n"/>
      <c r="P247" s="29">
        <f>IF(N247="","",N247-O247)</f>
        <v/>
      </c>
      <c r="Q247" s="27" t="n"/>
      <c r="R247" s="27" t="n"/>
      <c r="S247" s="28" t="n"/>
      <c r="T247" s="28" t="n"/>
      <c r="U247" s="28" t="n"/>
      <c r="V247" s="27" t="n"/>
    </row>
    <row r="248">
      <c r="A248" s="27" t="n"/>
      <c r="B248" s="28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>
        <f>IF(COUNTA(H248:L248)&gt;0,SUM(H248:L248),"")</f>
        <v/>
      </c>
      <c r="N248" s="29" t="n"/>
      <c r="O248" s="29" t="n"/>
      <c r="P248" s="29">
        <f>IF(N248="","",N248-O248)</f>
        <v/>
      </c>
      <c r="Q248" s="27" t="n"/>
      <c r="R248" s="27" t="n"/>
      <c r="S248" s="28" t="n"/>
      <c r="T248" s="28" t="n"/>
      <c r="U248" s="28" t="n"/>
      <c r="V248" s="27" t="n"/>
    </row>
    <row r="249">
      <c r="A249" s="27" t="n"/>
      <c r="B249" s="28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>
        <f>IF(COUNTA(H249:L249)&gt;0,SUM(H249:L249),"")</f>
        <v/>
      </c>
      <c r="N249" s="29" t="n"/>
      <c r="O249" s="29" t="n"/>
      <c r="P249" s="29">
        <f>IF(N249="","",N249-O249)</f>
        <v/>
      </c>
      <c r="Q249" s="27" t="n"/>
      <c r="R249" s="27" t="n"/>
      <c r="S249" s="28" t="n"/>
      <c r="T249" s="28" t="n"/>
      <c r="U249" s="28" t="n"/>
      <c r="V249" s="27" t="n"/>
    </row>
    <row r="250">
      <c r="A250" s="27" t="n"/>
      <c r="B250" s="28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>
        <f>IF(COUNTA(H250:L250)&gt;0,SUM(H250:L250),"")</f>
        <v/>
      </c>
      <c r="N250" s="29" t="n"/>
      <c r="O250" s="29" t="n"/>
      <c r="P250" s="29">
        <f>IF(N250="","",N250-O250)</f>
        <v/>
      </c>
      <c r="Q250" s="27" t="n"/>
      <c r="R250" s="27" t="n"/>
      <c r="S250" s="28" t="n"/>
      <c r="T250" s="28" t="n"/>
      <c r="U250" s="28" t="n"/>
      <c r="V250" s="27" t="n"/>
    </row>
    <row r="251">
      <c r="A251" s="27" t="n"/>
      <c r="B251" s="28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>
        <f>IF(COUNTA(H251:L251)&gt;0,SUM(H251:L251),"")</f>
        <v/>
      </c>
      <c r="N251" s="29" t="n"/>
      <c r="O251" s="29" t="n"/>
      <c r="P251" s="29">
        <f>IF(N251="","",N251-O251)</f>
        <v/>
      </c>
      <c r="Q251" s="27" t="n"/>
      <c r="R251" s="27" t="n"/>
      <c r="S251" s="28" t="n"/>
      <c r="T251" s="28" t="n"/>
      <c r="U251" s="28" t="n"/>
      <c r="V251" s="27" t="n"/>
    </row>
    <row r="252">
      <c r="A252" s="27" t="n"/>
      <c r="B252" s="28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>
        <f>IF(COUNTA(H252:L252)&gt;0,SUM(H252:L252),"")</f>
        <v/>
      </c>
      <c r="N252" s="29" t="n"/>
      <c r="O252" s="29" t="n"/>
      <c r="P252" s="29">
        <f>IF(N252="","",N252-O252)</f>
        <v/>
      </c>
      <c r="Q252" s="27" t="n"/>
      <c r="R252" s="27" t="n"/>
      <c r="S252" s="28" t="n"/>
      <c r="T252" s="28" t="n"/>
      <c r="U252" s="28" t="n"/>
      <c r="V252" s="27" t="n"/>
    </row>
    <row r="253">
      <c r="A253" s="27" t="n"/>
      <c r="B253" s="28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>
        <f>IF(COUNTA(H253:L253)&gt;0,SUM(H253:L253),"")</f>
        <v/>
      </c>
      <c r="N253" s="29" t="n"/>
      <c r="O253" s="29" t="n"/>
      <c r="P253" s="29">
        <f>IF(N253="","",N253-O253)</f>
        <v/>
      </c>
      <c r="Q253" s="27" t="n"/>
      <c r="R253" s="27" t="n"/>
      <c r="S253" s="28" t="n"/>
      <c r="T253" s="28" t="n"/>
      <c r="U253" s="28" t="n"/>
      <c r="V253" s="27" t="n"/>
    </row>
    <row r="254">
      <c r="A254" s="27" t="n"/>
      <c r="B254" s="28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>
        <f>IF(COUNTA(H254:L254)&gt;0,SUM(H254:L254),"")</f>
        <v/>
      </c>
      <c r="N254" s="29" t="n"/>
      <c r="O254" s="29" t="n"/>
      <c r="P254" s="29">
        <f>IF(N254="","",N254-O254)</f>
        <v/>
      </c>
      <c r="Q254" s="27" t="n"/>
      <c r="R254" s="27" t="n"/>
      <c r="S254" s="28" t="n"/>
      <c r="T254" s="28" t="n"/>
      <c r="U254" s="28" t="n"/>
      <c r="V254" s="27" t="n"/>
    </row>
    <row r="255">
      <c r="A255" s="27" t="n"/>
      <c r="B255" s="28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>
        <f>IF(COUNTA(H255:L255)&gt;0,SUM(H255:L255),"")</f>
        <v/>
      </c>
      <c r="N255" s="29" t="n"/>
      <c r="O255" s="29" t="n"/>
      <c r="P255" s="29">
        <f>IF(N255="","",N255-O255)</f>
        <v/>
      </c>
      <c r="Q255" s="27" t="n"/>
      <c r="R255" s="27" t="n"/>
      <c r="S255" s="28" t="n"/>
      <c r="T255" s="28" t="n"/>
      <c r="U255" s="28" t="n"/>
      <c r="V255" s="27" t="n"/>
    </row>
    <row r="256">
      <c r="A256" s="27" t="n"/>
      <c r="B256" s="28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>
        <f>IF(COUNTA(H256:L256)&gt;0,SUM(H256:L256),"")</f>
        <v/>
      </c>
      <c r="N256" s="29" t="n"/>
      <c r="O256" s="29" t="n"/>
      <c r="P256" s="29">
        <f>IF(N256="","",N256-O256)</f>
        <v/>
      </c>
      <c r="Q256" s="27" t="n"/>
      <c r="R256" s="27" t="n"/>
      <c r="S256" s="28" t="n"/>
      <c r="T256" s="28" t="n"/>
      <c r="U256" s="28" t="n"/>
      <c r="V256" s="27" t="n"/>
    </row>
    <row r="257">
      <c r="A257" s="27" t="n"/>
      <c r="B257" s="28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>
        <f>IF(COUNTA(H257:L257)&gt;0,SUM(H257:L257),"")</f>
        <v/>
      </c>
      <c r="N257" s="29" t="n"/>
      <c r="O257" s="29" t="n"/>
      <c r="P257" s="29">
        <f>IF(N257="","",N257-O257)</f>
        <v/>
      </c>
      <c r="Q257" s="27" t="n"/>
      <c r="R257" s="27" t="n"/>
      <c r="S257" s="28" t="n"/>
      <c r="T257" s="28" t="n"/>
      <c r="U257" s="28" t="n"/>
      <c r="V257" s="27" t="n"/>
    </row>
    <row r="258">
      <c r="A258" s="27" t="n"/>
      <c r="B258" s="28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>
        <f>IF(COUNTA(H258:L258)&gt;0,SUM(H258:L258),"")</f>
        <v/>
      </c>
      <c r="N258" s="29" t="n"/>
      <c r="O258" s="29" t="n"/>
      <c r="P258" s="29">
        <f>IF(N258="","",N258-O258)</f>
        <v/>
      </c>
      <c r="Q258" s="27" t="n"/>
      <c r="R258" s="27" t="n"/>
      <c r="S258" s="28" t="n"/>
      <c r="T258" s="28" t="n"/>
      <c r="U258" s="28" t="n"/>
      <c r="V258" s="27" t="n"/>
    </row>
    <row r="259">
      <c r="A259" s="27" t="n"/>
      <c r="B259" s="28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>
        <f>IF(COUNTA(H259:L259)&gt;0,SUM(H259:L259),"")</f>
        <v/>
      </c>
      <c r="N259" s="29" t="n"/>
      <c r="O259" s="29" t="n"/>
      <c r="P259" s="29">
        <f>IF(N259="","",N259-O259)</f>
        <v/>
      </c>
      <c r="Q259" s="27" t="n"/>
      <c r="R259" s="27" t="n"/>
      <c r="S259" s="28" t="n"/>
      <c r="T259" s="28" t="n"/>
      <c r="U259" s="28" t="n"/>
      <c r="V259" s="27" t="n"/>
    </row>
    <row r="260">
      <c r="A260" s="27" t="n"/>
      <c r="B260" s="28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>
        <f>IF(COUNTA(H260:L260)&gt;0,SUM(H260:L260),"")</f>
        <v/>
      </c>
      <c r="N260" s="29" t="n"/>
      <c r="O260" s="29" t="n"/>
      <c r="P260" s="29">
        <f>IF(N260="","",N260-O260)</f>
        <v/>
      </c>
      <c r="Q260" s="27" t="n"/>
      <c r="R260" s="27" t="n"/>
      <c r="S260" s="28" t="n"/>
      <c r="T260" s="28" t="n"/>
      <c r="U260" s="28" t="n"/>
      <c r="V260" s="27" t="n"/>
    </row>
    <row r="261">
      <c r="A261" s="27" t="n"/>
      <c r="B261" s="28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>
        <f>IF(COUNTA(H261:L261)&gt;0,SUM(H261:L261),"")</f>
        <v/>
      </c>
      <c r="N261" s="29" t="n"/>
      <c r="O261" s="29" t="n"/>
      <c r="P261" s="29">
        <f>IF(N261="","",N261-O261)</f>
        <v/>
      </c>
      <c r="Q261" s="27" t="n"/>
      <c r="R261" s="27" t="n"/>
      <c r="S261" s="28" t="n"/>
      <c r="T261" s="28" t="n"/>
      <c r="U261" s="28" t="n"/>
      <c r="V261" s="27" t="n"/>
    </row>
    <row r="262">
      <c r="A262" s="27" t="n"/>
      <c r="B262" s="28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>
        <f>IF(COUNTA(H262:L262)&gt;0,SUM(H262:L262),"")</f>
        <v/>
      </c>
      <c r="N262" s="29" t="n"/>
      <c r="O262" s="29" t="n"/>
      <c r="P262" s="29">
        <f>IF(N262="","",N262-O262)</f>
        <v/>
      </c>
      <c r="Q262" s="27" t="n"/>
      <c r="R262" s="27" t="n"/>
      <c r="S262" s="28" t="n"/>
      <c r="T262" s="28" t="n"/>
      <c r="U262" s="28" t="n"/>
      <c r="V262" s="27" t="n"/>
    </row>
    <row r="263">
      <c r="A263" s="27" t="n"/>
      <c r="B263" s="28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>
        <f>IF(COUNTA(H263:L263)&gt;0,SUM(H263:L263),"")</f>
        <v/>
      </c>
      <c r="N263" s="29" t="n"/>
      <c r="O263" s="29" t="n"/>
      <c r="P263" s="29">
        <f>IF(N263="","",N263-O263)</f>
        <v/>
      </c>
      <c r="Q263" s="27" t="n"/>
      <c r="R263" s="27" t="n"/>
      <c r="S263" s="28" t="n"/>
      <c r="T263" s="28" t="n"/>
      <c r="U263" s="28" t="n"/>
      <c r="V263" s="27" t="n"/>
    </row>
    <row r="264">
      <c r="A264" s="27" t="n"/>
      <c r="B264" s="28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>
        <f>IF(COUNTA(H264:L264)&gt;0,SUM(H264:L264),"")</f>
        <v/>
      </c>
      <c r="N264" s="29" t="n"/>
      <c r="O264" s="29" t="n"/>
      <c r="P264" s="29">
        <f>IF(N264="","",N264-O264)</f>
        <v/>
      </c>
      <c r="Q264" s="27" t="n"/>
      <c r="R264" s="27" t="n"/>
      <c r="S264" s="28" t="n"/>
      <c r="T264" s="28" t="n"/>
      <c r="U264" s="28" t="n"/>
      <c r="V264" s="27" t="n"/>
    </row>
    <row r="265">
      <c r="A265" s="27" t="n"/>
      <c r="B265" s="28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>
        <f>IF(COUNTA(H265:L265)&gt;0,SUM(H265:L265),"")</f>
        <v/>
      </c>
      <c r="N265" s="29" t="n"/>
      <c r="O265" s="29" t="n"/>
      <c r="P265" s="29">
        <f>IF(N265="","",N265-O265)</f>
        <v/>
      </c>
      <c r="Q265" s="27" t="n"/>
      <c r="R265" s="27" t="n"/>
      <c r="S265" s="28" t="n"/>
      <c r="T265" s="28" t="n"/>
      <c r="U265" s="28" t="n"/>
      <c r="V265" s="27" t="n"/>
    </row>
    <row r="266">
      <c r="A266" s="27" t="n"/>
      <c r="B266" s="28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>
        <f>IF(COUNTA(H266:L266)&gt;0,SUM(H266:L266),"")</f>
        <v/>
      </c>
      <c r="N266" s="29" t="n"/>
      <c r="O266" s="29" t="n"/>
      <c r="P266" s="29">
        <f>IF(N266="","",N266-O266)</f>
        <v/>
      </c>
      <c r="Q266" s="27" t="n"/>
      <c r="R266" s="27" t="n"/>
      <c r="S266" s="28" t="n"/>
      <c r="T266" s="28" t="n"/>
      <c r="U266" s="28" t="n"/>
      <c r="V266" s="27" t="n"/>
    </row>
    <row r="267">
      <c r="A267" s="27" t="n"/>
      <c r="B267" s="28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>
        <f>IF(COUNTA(H267:L267)&gt;0,SUM(H267:L267),"")</f>
        <v/>
      </c>
      <c r="N267" s="29" t="n"/>
      <c r="O267" s="29" t="n"/>
      <c r="P267" s="29">
        <f>IF(N267="","",N267-O267)</f>
        <v/>
      </c>
      <c r="Q267" s="27" t="n"/>
      <c r="R267" s="27" t="n"/>
      <c r="S267" s="28" t="n"/>
      <c r="T267" s="28" t="n"/>
      <c r="U267" s="28" t="n"/>
      <c r="V267" s="27" t="n"/>
    </row>
    <row r="268">
      <c r="A268" s="27" t="n"/>
      <c r="B268" s="28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>
        <f>IF(COUNTA(H268:L268)&gt;0,SUM(H268:L268),"")</f>
        <v/>
      </c>
      <c r="N268" s="29" t="n"/>
      <c r="O268" s="29" t="n"/>
      <c r="P268" s="29">
        <f>IF(N268="","",N268-O268)</f>
        <v/>
      </c>
      <c r="Q268" s="27" t="n"/>
      <c r="R268" s="27" t="n"/>
      <c r="S268" s="28" t="n"/>
      <c r="T268" s="28" t="n"/>
      <c r="U268" s="28" t="n"/>
      <c r="V268" s="27" t="n"/>
    </row>
    <row r="269">
      <c r="A269" s="27" t="n"/>
      <c r="B269" s="28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>
        <f>IF(COUNTA(H269:L269)&gt;0,SUM(H269:L269),"")</f>
        <v/>
      </c>
      <c r="N269" s="29" t="n"/>
      <c r="O269" s="29" t="n"/>
      <c r="P269" s="29">
        <f>IF(N269="","",N269-O269)</f>
        <v/>
      </c>
      <c r="Q269" s="27" t="n"/>
      <c r="R269" s="27" t="n"/>
      <c r="S269" s="28" t="n"/>
      <c r="T269" s="28" t="n"/>
      <c r="U269" s="28" t="n"/>
      <c r="V269" s="27" t="n"/>
    </row>
    <row r="270">
      <c r="A270" s="27" t="n"/>
      <c r="B270" s="28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>
        <f>IF(COUNTA(H270:L270)&gt;0,SUM(H270:L270),"")</f>
        <v/>
      </c>
      <c r="N270" s="29" t="n"/>
      <c r="O270" s="29" t="n"/>
      <c r="P270" s="29">
        <f>IF(N270="","",N270-O270)</f>
        <v/>
      </c>
      <c r="Q270" s="27" t="n"/>
      <c r="R270" s="27" t="n"/>
      <c r="S270" s="28" t="n"/>
      <c r="T270" s="28" t="n"/>
      <c r="U270" s="28" t="n"/>
      <c r="V270" s="27" t="n"/>
    </row>
    <row r="271">
      <c r="A271" s="27" t="n"/>
      <c r="B271" s="28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>
        <f>IF(COUNTA(H271:L271)&gt;0,SUM(H271:L271),"")</f>
        <v/>
      </c>
      <c r="N271" s="29" t="n"/>
      <c r="O271" s="29" t="n"/>
      <c r="P271" s="29">
        <f>IF(N271="","",N271-O271)</f>
        <v/>
      </c>
      <c r="Q271" s="27" t="n"/>
      <c r="R271" s="27" t="n"/>
      <c r="S271" s="28" t="n"/>
      <c r="T271" s="28" t="n"/>
      <c r="U271" s="28" t="n"/>
      <c r="V271" s="27" t="n"/>
    </row>
    <row r="272">
      <c r="A272" s="27" t="n"/>
      <c r="B272" s="28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>
        <f>IF(COUNTA(H272:L272)&gt;0,SUM(H272:L272),"")</f>
        <v/>
      </c>
      <c r="N272" s="29" t="n"/>
      <c r="O272" s="29" t="n"/>
      <c r="P272" s="29">
        <f>IF(N272="","",N272-O272)</f>
        <v/>
      </c>
      <c r="Q272" s="27" t="n"/>
      <c r="R272" s="27" t="n"/>
      <c r="S272" s="28" t="n"/>
      <c r="T272" s="28" t="n"/>
      <c r="U272" s="28" t="n"/>
      <c r="V272" s="27" t="n"/>
    </row>
    <row r="273">
      <c r="A273" s="27" t="n"/>
      <c r="B273" s="28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>
        <f>IF(COUNTA(H273:L273)&gt;0,SUM(H273:L273),"")</f>
        <v/>
      </c>
      <c r="N273" s="29" t="n"/>
      <c r="O273" s="29" t="n"/>
      <c r="P273" s="29">
        <f>IF(N273="","",N273-O273)</f>
        <v/>
      </c>
      <c r="Q273" s="27" t="n"/>
      <c r="R273" s="27" t="n"/>
      <c r="S273" s="28" t="n"/>
      <c r="T273" s="28" t="n"/>
      <c r="U273" s="28" t="n"/>
      <c r="V273" s="27" t="n"/>
    </row>
    <row r="274">
      <c r="A274" s="27" t="n"/>
      <c r="B274" s="28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>
        <f>IF(COUNTA(H274:L274)&gt;0,SUM(H274:L274),"")</f>
        <v/>
      </c>
      <c r="N274" s="29" t="n"/>
      <c r="O274" s="29" t="n"/>
      <c r="P274" s="29">
        <f>IF(N274="","",N274-O274)</f>
        <v/>
      </c>
      <c r="Q274" s="27" t="n"/>
      <c r="R274" s="27" t="n"/>
      <c r="S274" s="28" t="n"/>
      <c r="T274" s="28" t="n"/>
      <c r="U274" s="28" t="n"/>
      <c r="V274" s="27" t="n"/>
    </row>
    <row r="275">
      <c r="A275" s="27" t="n"/>
      <c r="B275" s="28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>
        <f>IF(COUNTA(H275:L275)&gt;0,SUM(H275:L275),"")</f>
        <v/>
      </c>
      <c r="N275" s="29" t="n"/>
      <c r="O275" s="29" t="n"/>
      <c r="P275" s="29">
        <f>IF(N275="","",N275-O275)</f>
        <v/>
      </c>
      <c r="Q275" s="27" t="n"/>
      <c r="R275" s="27" t="n"/>
      <c r="S275" s="28" t="n"/>
      <c r="T275" s="28" t="n"/>
      <c r="U275" s="28" t="n"/>
      <c r="V275" s="27" t="n"/>
    </row>
    <row r="276">
      <c r="A276" s="27" t="n"/>
      <c r="B276" s="28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>
        <f>IF(COUNTA(H276:L276)&gt;0,SUM(H276:L276),"")</f>
        <v/>
      </c>
      <c r="N276" s="29" t="n"/>
      <c r="O276" s="29" t="n"/>
      <c r="P276" s="29">
        <f>IF(N276="","",N276-O276)</f>
        <v/>
      </c>
      <c r="Q276" s="27" t="n"/>
      <c r="R276" s="27" t="n"/>
      <c r="S276" s="28" t="n"/>
      <c r="T276" s="28" t="n"/>
      <c r="U276" s="28" t="n"/>
      <c r="V276" s="27" t="n"/>
    </row>
    <row r="277">
      <c r="A277" s="27" t="n"/>
      <c r="B277" s="28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>
        <f>IF(COUNTA(H277:L277)&gt;0,SUM(H277:L277),"")</f>
        <v/>
      </c>
      <c r="N277" s="29" t="n"/>
      <c r="O277" s="29" t="n"/>
      <c r="P277" s="29">
        <f>IF(N277="","",N277-O277)</f>
        <v/>
      </c>
      <c r="Q277" s="27" t="n"/>
      <c r="R277" s="27" t="n"/>
      <c r="S277" s="28" t="n"/>
      <c r="T277" s="28" t="n"/>
      <c r="U277" s="28" t="n"/>
      <c r="V277" s="27" t="n"/>
    </row>
    <row r="278">
      <c r="A278" s="27" t="n"/>
      <c r="B278" s="28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>
        <f>IF(COUNTA(H278:L278)&gt;0,SUM(H278:L278),"")</f>
        <v/>
      </c>
      <c r="N278" s="29" t="n"/>
      <c r="O278" s="29" t="n"/>
      <c r="P278" s="29">
        <f>IF(N278="","",N278-O278)</f>
        <v/>
      </c>
      <c r="Q278" s="27" t="n"/>
      <c r="R278" s="27" t="n"/>
      <c r="S278" s="28" t="n"/>
      <c r="T278" s="28" t="n"/>
      <c r="U278" s="28" t="n"/>
      <c r="V278" s="27" t="n"/>
    </row>
    <row r="279">
      <c r="A279" s="27" t="n"/>
      <c r="B279" s="28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>
        <f>IF(COUNTA(H279:L279)&gt;0,SUM(H279:L279),"")</f>
        <v/>
      </c>
      <c r="N279" s="29" t="n"/>
      <c r="O279" s="29" t="n"/>
      <c r="P279" s="29">
        <f>IF(N279="","",N279-O279)</f>
        <v/>
      </c>
      <c r="Q279" s="27" t="n"/>
      <c r="R279" s="27" t="n"/>
      <c r="S279" s="28" t="n"/>
      <c r="T279" s="28" t="n"/>
      <c r="U279" s="28" t="n"/>
      <c r="V279" s="27" t="n"/>
    </row>
    <row r="280">
      <c r="A280" s="27" t="n"/>
      <c r="B280" s="28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>
        <f>IF(COUNTA(H280:L280)&gt;0,SUM(H280:L280),"")</f>
        <v/>
      </c>
      <c r="N280" s="29" t="n"/>
      <c r="O280" s="29" t="n"/>
      <c r="P280" s="29">
        <f>IF(N280="","",N280-O280)</f>
        <v/>
      </c>
      <c r="Q280" s="27" t="n"/>
      <c r="R280" s="27" t="n"/>
      <c r="S280" s="28" t="n"/>
      <c r="T280" s="28" t="n"/>
      <c r="U280" s="28" t="n"/>
      <c r="V280" s="27" t="n"/>
    </row>
    <row r="281">
      <c r="A281" s="27" t="n"/>
      <c r="B281" s="28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>
        <f>IF(COUNTA(H281:L281)&gt;0,SUM(H281:L281),"")</f>
        <v/>
      </c>
      <c r="N281" s="29" t="n"/>
      <c r="O281" s="29" t="n"/>
      <c r="P281" s="29">
        <f>IF(N281="","",N281-O281)</f>
        <v/>
      </c>
      <c r="Q281" s="27" t="n"/>
      <c r="R281" s="27" t="n"/>
      <c r="S281" s="28" t="n"/>
      <c r="T281" s="28" t="n"/>
      <c r="U281" s="28" t="n"/>
      <c r="V281" s="27" t="n"/>
    </row>
    <row r="282">
      <c r="A282" s="27" t="n"/>
      <c r="B282" s="28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>
        <f>IF(COUNTA(H282:L282)&gt;0,SUM(H282:L282),"")</f>
        <v/>
      </c>
      <c r="N282" s="29" t="n"/>
      <c r="O282" s="29" t="n"/>
      <c r="P282" s="29">
        <f>IF(N282="","",N282-O282)</f>
        <v/>
      </c>
      <c r="Q282" s="27" t="n"/>
      <c r="R282" s="27" t="n"/>
      <c r="S282" s="28" t="n"/>
      <c r="T282" s="28" t="n"/>
      <c r="U282" s="28" t="n"/>
      <c r="V282" s="27" t="n"/>
    </row>
    <row r="283">
      <c r="A283" s="27" t="n"/>
      <c r="B283" s="28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>
        <f>IF(COUNTA(H283:L283)&gt;0,SUM(H283:L283),"")</f>
        <v/>
      </c>
      <c r="N283" s="29" t="n"/>
      <c r="O283" s="29" t="n"/>
      <c r="P283" s="29">
        <f>IF(N283="","",N283-O283)</f>
        <v/>
      </c>
      <c r="Q283" s="27" t="n"/>
      <c r="R283" s="27" t="n"/>
      <c r="S283" s="28" t="n"/>
      <c r="T283" s="28" t="n"/>
      <c r="U283" s="28" t="n"/>
      <c r="V283" s="27" t="n"/>
    </row>
    <row r="284">
      <c r="A284" s="27" t="n"/>
      <c r="B284" s="28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>
        <f>IF(COUNTA(H284:L284)&gt;0,SUM(H284:L284),"")</f>
        <v/>
      </c>
      <c r="N284" s="29" t="n"/>
      <c r="O284" s="29" t="n"/>
      <c r="P284" s="29">
        <f>IF(N284="","",N284-O284)</f>
        <v/>
      </c>
      <c r="Q284" s="27" t="n"/>
      <c r="R284" s="27" t="n"/>
      <c r="S284" s="28" t="n"/>
      <c r="T284" s="28" t="n"/>
      <c r="U284" s="28" t="n"/>
      <c r="V284" s="27" t="n"/>
    </row>
    <row r="285">
      <c r="A285" s="27" t="n"/>
      <c r="B285" s="28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>
        <f>IF(COUNTA(H285:L285)&gt;0,SUM(H285:L285),"")</f>
        <v/>
      </c>
      <c r="N285" s="29" t="n"/>
      <c r="O285" s="29" t="n"/>
      <c r="P285" s="29">
        <f>IF(N285="","",N285-O285)</f>
        <v/>
      </c>
      <c r="Q285" s="27" t="n"/>
      <c r="R285" s="27" t="n"/>
      <c r="S285" s="28" t="n"/>
      <c r="T285" s="28" t="n"/>
      <c r="U285" s="28" t="n"/>
      <c r="V285" s="27" t="n"/>
    </row>
    <row r="286">
      <c r="A286" s="27" t="n"/>
      <c r="B286" s="28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>
        <f>IF(COUNTA(H286:L286)&gt;0,SUM(H286:L286),"")</f>
        <v/>
      </c>
      <c r="N286" s="29" t="n"/>
      <c r="O286" s="29" t="n"/>
      <c r="P286" s="29">
        <f>IF(N286="","",N286-O286)</f>
        <v/>
      </c>
      <c r="Q286" s="27" t="n"/>
      <c r="R286" s="27" t="n"/>
      <c r="S286" s="28" t="n"/>
      <c r="T286" s="28" t="n"/>
      <c r="U286" s="28" t="n"/>
      <c r="V286" s="27" t="n"/>
    </row>
    <row r="287">
      <c r="A287" s="27" t="n"/>
      <c r="B287" s="28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>
        <f>IF(COUNTA(H287:L287)&gt;0,SUM(H287:L287),"")</f>
        <v/>
      </c>
      <c r="N287" s="29" t="n"/>
      <c r="O287" s="29" t="n"/>
      <c r="P287" s="29">
        <f>IF(N287="","",N287-O287)</f>
        <v/>
      </c>
      <c r="Q287" s="27" t="n"/>
      <c r="R287" s="27" t="n"/>
      <c r="S287" s="28" t="n"/>
      <c r="T287" s="28" t="n"/>
      <c r="U287" s="28" t="n"/>
      <c r="V287" s="27" t="n"/>
    </row>
    <row r="288">
      <c r="A288" s="27" t="n"/>
      <c r="B288" s="28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>
        <f>IF(COUNTA(H288:L288)&gt;0,SUM(H288:L288),"")</f>
        <v/>
      </c>
      <c r="N288" s="29" t="n"/>
      <c r="O288" s="29" t="n"/>
      <c r="P288" s="29">
        <f>IF(N288="","",N288-O288)</f>
        <v/>
      </c>
      <c r="Q288" s="27" t="n"/>
      <c r="R288" s="27" t="n"/>
      <c r="S288" s="28" t="n"/>
      <c r="T288" s="28" t="n"/>
      <c r="U288" s="28" t="n"/>
      <c r="V288" s="27" t="n"/>
    </row>
    <row r="289">
      <c r="A289" s="27" t="n"/>
      <c r="B289" s="28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>
        <f>IF(COUNTA(H289:L289)&gt;0,SUM(H289:L289),"")</f>
        <v/>
      </c>
      <c r="N289" s="29" t="n"/>
      <c r="O289" s="29" t="n"/>
      <c r="P289" s="29">
        <f>IF(N289="","",N289-O289)</f>
        <v/>
      </c>
      <c r="Q289" s="27" t="n"/>
      <c r="R289" s="27" t="n"/>
      <c r="S289" s="28" t="n"/>
      <c r="T289" s="28" t="n"/>
      <c r="U289" s="28" t="n"/>
      <c r="V289" s="27" t="n"/>
    </row>
    <row r="290">
      <c r="A290" s="27" t="n"/>
      <c r="B290" s="28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>
        <f>IF(COUNTA(H290:L290)&gt;0,SUM(H290:L290),"")</f>
        <v/>
      </c>
      <c r="N290" s="29" t="n"/>
      <c r="O290" s="29" t="n"/>
      <c r="P290" s="29">
        <f>IF(N290="","",N290-O290)</f>
        <v/>
      </c>
      <c r="Q290" s="27" t="n"/>
      <c r="R290" s="27" t="n"/>
      <c r="S290" s="28" t="n"/>
      <c r="T290" s="28" t="n"/>
      <c r="U290" s="28" t="n"/>
      <c r="V290" s="27" t="n"/>
    </row>
    <row r="291">
      <c r="A291" s="27" t="n"/>
      <c r="B291" s="28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>
        <f>IF(COUNTA(H291:L291)&gt;0,SUM(H291:L291),"")</f>
        <v/>
      </c>
      <c r="N291" s="29" t="n"/>
      <c r="O291" s="29" t="n"/>
      <c r="P291" s="29">
        <f>IF(N291="","",N291-O291)</f>
        <v/>
      </c>
      <c r="Q291" s="27" t="n"/>
      <c r="R291" s="27" t="n"/>
      <c r="S291" s="28" t="n"/>
      <c r="T291" s="28" t="n"/>
      <c r="U291" s="28" t="n"/>
      <c r="V291" s="27" t="n"/>
    </row>
    <row r="292">
      <c r="A292" s="27" t="n"/>
      <c r="B292" s="28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>
        <f>IF(COUNTA(H292:L292)&gt;0,SUM(H292:L292),"")</f>
        <v/>
      </c>
      <c r="N292" s="29" t="n"/>
      <c r="O292" s="29" t="n"/>
      <c r="P292" s="29">
        <f>IF(N292="","",N292-O292)</f>
        <v/>
      </c>
      <c r="Q292" s="27" t="n"/>
      <c r="R292" s="27" t="n"/>
      <c r="S292" s="28" t="n"/>
      <c r="T292" s="28" t="n"/>
      <c r="U292" s="28" t="n"/>
      <c r="V292" s="27" t="n"/>
    </row>
    <row r="293">
      <c r="A293" s="27" t="n"/>
      <c r="B293" s="28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>
        <f>IF(COUNTA(H293:L293)&gt;0,SUM(H293:L293),"")</f>
        <v/>
      </c>
      <c r="N293" s="29" t="n"/>
      <c r="O293" s="29" t="n"/>
      <c r="P293" s="29">
        <f>IF(N293="","",N293-O293)</f>
        <v/>
      </c>
      <c r="Q293" s="27" t="n"/>
      <c r="R293" s="27" t="n"/>
      <c r="S293" s="28" t="n"/>
      <c r="T293" s="28" t="n"/>
      <c r="U293" s="28" t="n"/>
      <c r="V293" s="27" t="n"/>
    </row>
    <row r="294">
      <c r="A294" s="27" t="n"/>
      <c r="B294" s="28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>
        <f>IF(COUNTA(H294:L294)&gt;0,SUM(H294:L294),"")</f>
        <v/>
      </c>
      <c r="N294" s="29" t="n"/>
      <c r="O294" s="29" t="n"/>
      <c r="P294" s="29">
        <f>IF(N294="","",N294-O294)</f>
        <v/>
      </c>
      <c r="Q294" s="27" t="n"/>
      <c r="R294" s="27" t="n"/>
      <c r="S294" s="28" t="n"/>
      <c r="T294" s="28" t="n"/>
      <c r="U294" s="28" t="n"/>
      <c r="V294" s="27" t="n"/>
    </row>
    <row r="295">
      <c r="A295" s="27" t="n"/>
      <c r="B295" s="28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>
        <f>IF(COUNTA(H295:L295)&gt;0,SUM(H295:L295),"")</f>
        <v/>
      </c>
      <c r="N295" s="29" t="n"/>
      <c r="O295" s="29" t="n"/>
      <c r="P295" s="29">
        <f>IF(N295="","",N295-O295)</f>
        <v/>
      </c>
      <c r="Q295" s="27" t="n"/>
      <c r="R295" s="27" t="n"/>
      <c r="S295" s="28" t="n"/>
      <c r="T295" s="28" t="n"/>
      <c r="U295" s="28" t="n"/>
      <c r="V295" s="27" t="n"/>
    </row>
    <row r="296">
      <c r="A296" s="27" t="n"/>
      <c r="B296" s="28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>
        <f>IF(COUNTA(H296:L296)&gt;0,SUM(H296:L296),"")</f>
        <v/>
      </c>
      <c r="N296" s="29" t="n"/>
      <c r="O296" s="29" t="n"/>
      <c r="P296" s="29">
        <f>IF(N296="","",N296-O296)</f>
        <v/>
      </c>
      <c r="Q296" s="27" t="n"/>
      <c r="R296" s="27" t="n"/>
      <c r="S296" s="28" t="n"/>
      <c r="T296" s="28" t="n"/>
      <c r="U296" s="28" t="n"/>
      <c r="V296" s="27" t="n"/>
    </row>
    <row r="297">
      <c r="A297" s="27" t="n"/>
      <c r="B297" s="28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>
        <f>IF(COUNTA(H297:L297)&gt;0,SUM(H297:L297),"")</f>
        <v/>
      </c>
      <c r="N297" s="29" t="n"/>
      <c r="O297" s="29" t="n"/>
      <c r="P297" s="29">
        <f>IF(N297="","",N297-O297)</f>
        <v/>
      </c>
      <c r="Q297" s="27" t="n"/>
      <c r="R297" s="27" t="n"/>
      <c r="S297" s="28" t="n"/>
      <c r="T297" s="28" t="n"/>
      <c r="U297" s="28" t="n"/>
      <c r="V297" s="27" t="n"/>
    </row>
    <row r="298">
      <c r="A298" s="27" t="n"/>
      <c r="B298" s="28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>
        <f>IF(COUNTA(H298:L298)&gt;0,SUM(H298:L298),"")</f>
        <v/>
      </c>
      <c r="N298" s="29" t="n"/>
      <c r="O298" s="29" t="n"/>
      <c r="P298" s="29">
        <f>IF(N298="","",N298-O298)</f>
        <v/>
      </c>
      <c r="Q298" s="27" t="n"/>
      <c r="R298" s="27" t="n"/>
      <c r="S298" s="28" t="n"/>
      <c r="T298" s="28" t="n"/>
      <c r="U298" s="28" t="n"/>
      <c r="V298" s="27" t="n"/>
    </row>
    <row r="299">
      <c r="A299" s="27" t="n"/>
      <c r="B299" s="28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>
        <f>IF(COUNTA(H299:L299)&gt;0,SUM(H299:L299),"")</f>
        <v/>
      </c>
      <c r="N299" s="29" t="n"/>
      <c r="O299" s="29" t="n"/>
      <c r="P299" s="29">
        <f>IF(N299="","",N299-O299)</f>
        <v/>
      </c>
      <c r="Q299" s="27" t="n"/>
      <c r="R299" s="27" t="n"/>
      <c r="S299" s="28" t="n"/>
      <c r="T299" s="28" t="n"/>
      <c r="U299" s="28" t="n"/>
      <c r="V299" s="27" t="n"/>
    </row>
    <row r="300">
      <c r="A300" s="27" t="n"/>
      <c r="B300" s="28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>
        <f>IF(COUNTA(H300:L300)&gt;0,SUM(H300:L300),"")</f>
        <v/>
      </c>
      <c r="N300" s="29" t="n"/>
      <c r="O300" s="29" t="n"/>
      <c r="P300" s="29">
        <f>IF(N300="","",N300-O300)</f>
        <v/>
      </c>
      <c r="Q300" s="27" t="n"/>
      <c r="R300" s="27" t="n"/>
      <c r="S300" s="28" t="n"/>
      <c r="T300" s="28" t="n"/>
      <c r="U300" s="28" t="n"/>
      <c r="V300" s="27" t="n"/>
    </row>
    <row r="301">
      <c r="A301" s="27" t="n"/>
      <c r="B301" s="28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>
        <f>IF(COUNTA(H301:L301)&gt;0,SUM(H301:L301),"")</f>
        <v/>
      </c>
      <c r="N301" s="29" t="n"/>
      <c r="O301" s="29" t="n"/>
      <c r="P301" s="29">
        <f>IF(N301="","",N301-O301)</f>
        <v/>
      </c>
      <c r="Q301" s="27" t="n"/>
      <c r="R301" s="27" t="n"/>
      <c r="S301" s="28" t="n"/>
      <c r="T301" s="28" t="n"/>
      <c r="U301" s="28" t="n"/>
      <c r="V301" s="27" t="n"/>
    </row>
    <row r="302">
      <c r="A302" s="27" t="n"/>
      <c r="B302" s="28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>
        <f>IF(COUNTA(H302:L302)&gt;0,SUM(H302:L302),"")</f>
        <v/>
      </c>
      <c r="N302" s="29" t="n"/>
      <c r="O302" s="29" t="n"/>
      <c r="P302" s="29">
        <f>IF(N302="","",N302-O302)</f>
        <v/>
      </c>
      <c r="Q302" s="27" t="n"/>
      <c r="R302" s="27" t="n"/>
      <c r="S302" s="28" t="n"/>
      <c r="T302" s="28" t="n"/>
      <c r="U302" s="28" t="n"/>
      <c r="V302" s="27" t="n"/>
    </row>
    <row r="303">
      <c r="A303" s="27" t="n"/>
      <c r="B303" s="28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>
        <f>IF(COUNTA(H303:L303)&gt;0,SUM(H303:L303),"")</f>
        <v/>
      </c>
      <c r="N303" s="29" t="n"/>
      <c r="O303" s="29" t="n"/>
      <c r="P303" s="29">
        <f>IF(N303="","",N303-O303)</f>
        <v/>
      </c>
      <c r="Q303" s="27" t="n"/>
      <c r="R303" s="27" t="n"/>
      <c r="S303" s="28" t="n"/>
      <c r="T303" s="28" t="n"/>
      <c r="U303" s="28" t="n"/>
      <c r="V303" s="27" t="n"/>
    </row>
    <row r="304">
      <c r="A304" s="27" t="n"/>
      <c r="B304" s="28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>
        <f>IF(COUNTA(H304:L304)&gt;0,SUM(H304:L304),"")</f>
        <v/>
      </c>
      <c r="N304" s="29" t="n"/>
      <c r="O304" s="29" t="n"/>
      <c r="P304" s="29">
        <f>IF(N304="","",N304-O304)</f>
        <v/>
      </c>
      <c r="Q304" s="27" t="n"/>
      <c r="R304" s="27" t="n"/>
      <c r="S304" s="28" t="n"/>
      <c r="T304" s="28" t="n"/>
      <c r="U304" s="28" t="n"/>
      <c r="V304" s="27" t="n"/>
    </row>
    <row r="305">
      <c r="A305" s="27" t="n"/>
      <c r="B305" s="28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>
        <f>IF(COUNTA(H305:L305)&gt;0,SUM(H305:L305),"")</f>
        <v/>
      </c>
      <c r="N305" s="29" t="n"/>
      <c r="O305" s="29" t="n"/>
      <c r="P305" s="29">
        <f>IF(N305="","",N305-O305)</f>
        <v/>
      </c>
      <c r="Q305" s="27" t="n"/>
      <c r="R305" s="27" t="n"/>
      <c r="S305" s="28" t="n"/>
      <c r="T305" s="28" t="n"/>
      <c r="U305" s="28" t="n"/>
      <c r="V305" s="27" t="n"/>
    </row>
    <row r="306">
      <c r="A306" s="27" t="n"/>
      <c r="B306" s="28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>
        <f>IF(COUNTA(H306:L306)&gt;0,SUM(H306:L306),"")</f>
        <v/>
      </c>
      <c r="N306" s="29" t="n"/>
      <c r="O306" s="29" t="n"/>
      <c r="P306" s="29">
        <f>IF(N306="","",N306-O306)</f>
        <v/>
      </c>
      <c r="Q306" s="27" t="n"/>
      <c r="R306" s="27" t="n"/>
      <c r="S306" s="28" t="n"/>
      <c r="T306" s="28" t="n"/>
      <c r="U306" s="28" t="n"/>
      <c r="V306" s="27" t="n"/>
    </row>
    <row r="307">
      <c r="A307" s="27" t="n"/>
      <c r="B307" s="28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>
        <f>IF(COUNTA(H307:L307)&gt;0,SUM(H307:L307),"")</f>
        <v/>
      </c>
      <c r="N307" s="29" t="n"/>
      <c r="O307" s="29" t="n"/>
      <c r="P307" s="29">
        <f>IF(N307="","",N307-O307)</f>
        <v/>
      </c>
      <c r="Q307" s="27" t="n"/>
      <c r="R307" s="27" t="n"/>
      <c r="S307" s="28" t="n"/>
      <c r="T307" s="28" t="n"/>
      <c r="U307" s="28" t="n"/>
      <c r="V307" s="27" t="n"/>
    </row>
    <row r="308">
      <c r="A308" s="27" t="n"/>
      <c r="B308" s="28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>
        <f>IF(COUNTA(H308:L308)&gt;0,SUM(H308:L308),"")</f>
        <v/>
      </c>
      <c r="N308" s="29" t="n"/>
      <c r="O308" s="29" t="n"/>
      <c r="P308" s="29">
        <f>IF(N308="","",N308-O308)</f>
        <v/>
      </c>
      <c r="Q308" s="27" t="n"/>
      <c r="R308" s="27" t="n"/>
      <c r="S308" s="28" t="n"/>
      <c r="T308" s="28" t="n"/>
      <c r="U308" s="28" t="n"/>
      <c r="V308" s="27" t="n"/>
    </row>
    <row r="309">
      <c r="A309" s="27" t="n"/>
      <c r="B309" s="28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>
        <f>IF(COUNTA(H309:L309)&gt;0,SUM(H309:L309),"")</f>
        <v/>
      </c>
      <c r="N309" s="29" t="n"/>
      <c r="O309" s="29" t="n"/>
      <c r="P309" s="29">
        <f>IF(N309="","",N309-O309)</f>
        <v/>
      </c>
      <c r="Q309" s="27" t="n"/>
      <c r="R309" s="27" t="n"/>
      <c r="S309" s="28" t="n"/>
      <c r="T309" s="28" t="n"/>
      <c r="U309" s="28" t="n"/>
      <c r="V309" s="27" t="n"/>
    </row>
    <row r="310">
      <c r="A310" s="27" t="n"/>
      <c r="B310" s="28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>
        <f>IF(COUNTA(H310:L310)&gt;0,SUM(H310:L310),"")</f>
        <v/>
      </c>
      <c r="N310" s="29" t="n"/>
      <c r="O310" s="29" t="n"/>
      <c r="P310" s="29">
        <f>IF(N310="","",N310-O310)</f>
        <v/>
      </c>
      <c r="Q310" s="27" t="n"/>
      <c r="R310" s="27" t="n"/>
      <c r="S310" s="28" t="n"/>
      <c r="T310" s="28" t="n"/>
      <c r="U310" s="28" t="n"/>
      <c r="V310" s="27" t="n"/>
    </row>
    <row r="311">
      <c r="A311" s="27" t="n"/>
      <c r="B311" s="28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>
        <f>IF(COUNTA(H311:L311)&gt;0,SUM(H311:L311),"")</f>
        <v/>
      </c>
      <c r="N311" s="29" t="n"/>
      <c r="O311" s="29" t="n"/>
      <c r="P311" s="29">
        <f>IF(N311="","",N311-O311)</f>
        <v/>
      </c>
      <c r="Q311" s="27" t="n"/>
      <c r="R311" s="27" t="n"/>
      <c r="S311" s="28" t="n"/>
      <c r="T311" s="28" t="n"/>
      <c r="U311" s="28" t="n"/>
      <c r="V311" s="27" t="n"/>
    </row>
    <row r="312">
      <c r="A312" s="27" t="n"/>
      <c r="B312" s="28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>
        <f>IF(COUNTA(H312:L312)&gt;0,SUM(H312:L312),"")</f>
        <v/>
      </c>
      <c r="N312" s="29" t="n"/>
      <c r="O312" s="29" t="n"/>
      <c r="P312" s="29">
        <f>IF(N312="","",N312-O312)</f>
        <v/>
      </c>
      <c r="Q312" s="27" t="n"/>
      <c r="R312" s="27" t="n"/>
      <c r="S312" s="28" t="n"/>
      <c r="T312" s="28" t="n"/>
      <c r="U312" s="28" t="n"/>
      <c r="V312" s="27" t="n"/>
    </row>
    <row r="313">
      <c r="A313" s="27" t="n"/>
      <c r="B313" s="28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>
        <f>IF(COUNTA(H313:L313)&gt;0,SUM(H313:L313),"")</f>
        <v/>
      </c>
      <c r="N313" s="29" t="n"/>
      <c r="O313" s="29" t="n"/>
      <c r="P313" s="29">
        <f>IF(N313="","",N313-O313)</f>
        <v/>
      </c>
      <c r="Q313" s="27" t="n"/>
      <c r="R313" s="27" t="n"/>
      <c r="S313" s="28" t="n"/>
      <c r="T313" s="28" t="n"/>
      <c r="U313" s="28" t="n"/>
      <c r="V313" s="27" t="n"/>
    </row>
    <row r="314">
      <c r="A314" s="27" t="n"/>
      <c r="B314" s="28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>
        <f>IF(COUNTA(H314:L314)&gt;0,SUM(H314:L314),"")</f>
        <v/>
      </c>
      <c r="N314" s="29" t="n"/>
      <c r="O314" s="29" t="n"/>
      <c r="P314" s="29">
        <f>IF(N314="","",N314-O314)</f>
        <v/>
      </c>
      <c r="Q314" s="27" t="n"/>
      <c r="R314" s="27" t="n"/>
      <c r="S314" s="28" t="n"/>
      <c r="T314" s="28" t="n"/>
      <c r="U314" s="28" t="n"/>
      <c r="V314" s="27" t="n"/>
    </row>
    <row r="315">
      <c r="A315" s="27" t="n"/>
      <c r="B315" s="28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>
        <f>IF(COUNTA(H315:L315)&gt;0,SUM(H315:L315),"")</f>
        <v/>
      </c>
      <c r="N315" s="29" t="n"/>
      <c r="O315" s="29" t="n"/>
      <c r="P315" s="29">
        <f>IF(N315="","",N315-O315)</f>
        <v/>
      </c>
      <c r="Q315" s="27" t="n"/>
      <c r="R315" s="27" t="n"/>
      <c r="S315" s="28" t="n"/>
      <c r="T315" s="28" t="n"/>
      <c r="U315" s="28" t="n"/>
      <c r="V315" s="27" t="n"/>
    </row>
    <row r="316">
      <c r="A316" s="27" t="n"/>
      <c r="B316" s="28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>
        <f>IF(COUNTA(H316:L316)&gt;0,SUM(H316:L316),"")</f>
        <v/>
      </c>
      <c r="N316" s="29" t="n"/>
      <c r="O316" s="29" t="n"/>
      <c r="P316" s="29">
        <f>IF(N316="","",N316-O316)</f>
        <v/>
      </c>
      <c r="Q316" s="27" t="n"/>
      <c r="R316" s="27" t="n"/>
      <c r="S316" s="28" t="n"/>
      <c r="T316" s="28" t="n"/>
      <c r="U316" s="28" t="n"/>
      <c r="V316" s="27" t="n"/>
    </row>
    <row r="317">
      <c r="A317" s="27" t="n"/>
      <c r="B317" s="28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>
        <f>IF(COUNTA(H317:L317)&gt;0,SUM(H317:L317),"")</f>
        <v/>
      </c>
      <c r="N317" s="29" t="n"/>
      <c r="O317" s="29" t="n"/>
      <c r="P317" s="29">
        <f>IF(N317="","",N317-O317)</f>
        <v/>
      </c>
      <c r="Q317" s="27" t="n"/>
      <c r="R317" s="27" t="n"/>
      <c r="S317" s="28" t="n"/>
      <c r="T317" s="28" t="n"/>
      <c r="U317" s="28" t="n"/>
      <c r="V317" s="27" t="n"/>
    </row>
    <row r="318">
      <c r="A318" s="27" t="n"/>
      <c r="B318" s="28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>
        <f>IF(COUNTA(H318:L318)&gt;0,SUM(H318:L318),"")</f>
        <v/>
      </c>
      <c r="N318" s="29" t="n"/>
      <c r="O318" s="29" t="n"/>
      <c r="P318" s="29">
        <f>IF(N318="","",N318-O318)</f>
        <v/>
      </c>
      <c r="Q318" s="27" t="n"/>
      <c r="R318" s="27" t="n"/>
      <c r="S318" s="28" t="n"/>
      <c r="T318" s="28" t="n"/>
      <c r="U318" s="28" t="n"/>
      <c r="V318" s="27" t="n"/>
    </row>
    <row r="319">
      <c r="A319" s="27" t="n"/>
      <c r="B319" s="28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>
        <f>IF(COUNTA(H319:L319)&gt;0,SUM(H319:L319),"")</f>
        <v/>
      </c>
      <c r="N319" s="29" t="n"/>
      <c r="O319" s="29" t="n"/>
      <c r="P319" s="29">
        <f>IF(N319="","",N319-O319)</f>
        <v/>
      </c>
      <c r="Q319" s="27" t="n"/>
      <c r="R319" s="27" t="n"/>
      <c r="S319" s="28" t="n"/>
      <c r="T319" s="28" t="n"/>
      <c r="U319" s="28" t="n"/>
      <c r="V319" s="27" t="n"/>
    </row>
    <row r="320">
      <c r="A320" s="27" t="n"/>
      <c r="B320" s="28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>
        <f>IF(COUNTA(H320:L320)&gt;0,SUM(H320:L320),"")</f>
        <v/>
      </c>
      <c r="N320" s="29" t="n"/>
      <c r="O320" s="29" t="n"/>
      <c r="P320" s="29">
        <f>IF(N320="","",N320-O320)</f>
        <v/>
      </c>
      <c r="Q320" s="27" t="n"/>
      <c r="R320" s="27" t="n"/>
      <c r="S320" s="28" t="n"/>
      <c r="T320" s="28" t="n"/>
      <c r="U320" s="28" t="n"/>
      <c r="V320" s="27" t="n"/>
    </row>
    <row r="321">
      <c r="A321" s="27" t="n"/>
      <c r="B321" s="28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>
        <f>IF(COUNTA(H321:L321)&gt;0,SUM(H321:L321),"")</f>
        <v/>
      </c>
      <c r="N321" s="29" t="n"/>
      <c r="O321" s="29" t="n"/>
      <c r="P321" s="29">
        <f>IF(N321="","",N321-O321)</f>
        <v/>
      </c>
      <c r="Q321" s="27" t="n"/>
      <c r="R321" s="27" t="n"/>
      <c r="S321" s="28" t="n"/>
      <c r="T321" s="28" t="n"/>
      <c r="U321" s="28" t="n"/>
      <c r="V321" s="27" t="n"/>
    </row>
    <row r="322">
      <c r="A322" s="27" t="n"/>
      <c r="B322" s="28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>
        <f>IF(COUNTA(H322:L322)&gt;0,SUM(H322:L322),"")</f>
        <v/>
      </c>
      <c r="N322" s="29" t="n"/>
      <c r="O322" s="29" t="n"/>
      <c r="P322" s="29">
        <f>IF(N322="","",N322-O322)</f>
        <v/>
      </c>
      <c r="Q322" s="27" t="n"/>
      <c r="R322" s="27" t="n"/>
      <c r="S322" s="28" t="n"/>
      <c r="T322" s="28" t="n"/>
      <c r="U322" s="28" t="n"/>
      <c r="V322" s="27" t="n"/>
    </row>
    <row r="323">
      <c r="A323" s="27" t="n"/>
      <c r="B323" s="28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>
        <f>IF(COUNTA(H323:L323)&gt;0,SUM(H323:L323),"")</f>
        <v/>
      </c>
      <c r="N323" s="29" t="n"/>
      <c r="O323" s="29" t="n"/>
      <c r="P323" s="29">
        <f>IF(N323="","",N323-O323)</f>
        <v/>
      </c>
      <c r="Q323" s="27" t="n"/>
      <c r="R323" s="27" t="n"/>
      <c r="S323" s="28" t="n"/>
      <c r="T323" s="28" t="n"/>
      <c r="U323" s="28" t="n"/>
      <c r="V323" s="27" t="n"/>
    </row>
    <row r="324">
      <c r="A324" s="27" t="n"/>
      <c r="B324" s="28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>
        <f>IF(COUNTA(H324:L324)&gt;0,SUM(H324:L324),"")</f>
        <v/>
      </c>
      <c r="N324" s="29" t="n"/>
      <c r="O324" s="29" t="n"/>
      <c r="P324" s="29">
        <f>IF(N324="","",N324-O324)</f>
        <v/>
      </c>
      <c r="Q324" s="27" t="n"/>
      <c r="R324" s="27" t="n"/>
      <c r="S324" s="28" t="n"/>
      <c r="T324" s="28" t="n"/>
      <c r="U324" s="28" t="n"/>
      <c r="V324" s="27" t="n"/>
    </row>
    <row r="325">
      <c r="A325" s="27" t="n"/>
      <c r="B325" s="28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>
        <f>IF(COUNTA(H325:L325)&gt;0,SUM(H325:L325),"")</f>
        <v/>
      </c>
      <c r="N325" s="29" t="n"/>
      <c r="O325" s="29" t="n"/>
      <c r="P325" s="29">
        <f>IF(N325="","",N325-O325)</f>
        <v/>
      </c>
      <c r="Q325" s="27" t="n"/>
      <c r="R325" s="27" t="n"/>
      <c r="S325" s="28" t="n"/>
      <c r="T325" s="28" t="n"/>
      <c r="U325" s="28" t="n"/>
      <c r="V325" s="27" t="n"/>
    </row>
    <row r="326">
      <c r="A326" s="27" t="n"/>
      <c r="B326" s="28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>
        <f>IF(COUNTA(H326:L326)&gt;0,SUM(H326:L326),"")</f>
        <v/>
      </c>
      <c r="N326" s="29" t="n"/>
      <c r="O326" s="29" t="n"/>
      <c r="P326" s="29">
        <f>IF(N326="","",N326-O326)</f>
        <v/>
      </c>
      <c r="Q326" s="27" t="n"/>
      <c r="R326" s="27" t="n"/>
      <c r="S326" s="28" t="n"/>
      <c r="T326" s="28" t="n"/>
      <c r="U326" s="28" t="n"/>
      <c r="V326" s="27" t="n"/>
    </row>
    <row r="327">
      <c r="A327" s="27" t="n"/>
      <c r="B327" s="28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>
        <f>IF(COUNTA(H327:L327)&gt;0,SUM(H327:L327),"")</f>
        <v/>
      </c>
      <c r="N327" s="29" t="n"/>
      <c r="O327" s="29" t="n"/>
      <c r="P327" s="29">
        <f>IF(N327="","",N327-O327)</f>
        <v/>
      </c>
      <c r="Q327" s="27" t="n"/>
      <c r="R327" s="27" t="n"/>
      <c r="S327" s="28" t="n"/>
      <c r="T327" s="28" t="n"/>
      <c r="U327" s="28" t="n"/>
      <c r="V327" s="27" t="n"/>
    </row>
    <row r="328">
      <c r="A328" s="27" t="n"/>
      <c r="B328" s="28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>
        <f>IF(COUNTA(H328:L328)&gt;0,SUM(H328:L328),"")</f>
        <v/>
      </c>
      <c r="N328" s="29" t="n"/>
      <c r="O328" s="29" t="n"/>
      <c r="P328" s="29">
        <f>IF(N328="","",N328-O328)</f>
        <v/>
      </c>
      <c r="Q328" s="27" t="n"/>
      <c r="R328" s="27" t="n"/>
      <c r="S328" s="28" t="n"/>
      <c r="T328" s="28" t="n"/>
      <c r="U328" s="28" t="n"/>
      <c r="V328" s="27" t="n"/>
    </row>
    <row r="329">
      <c r="A329" s="27" t="n"/>
      <c r="B329" s="28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>
        <f>IF(COUNTA(H329:L329)&gt;0,SUM(H329:L329),"")</f>
        <v/>
      </c>
      <c r="N329" s="29" t="n"/>
      <c r="O329" s="29" t="n"/>
      <c r="P329" s="29">
        <f>IF(N329="","",N329-O329)</f>
        <v/>
      </c>
      <c r="Q329" s="27" t="n"/>
      <c r="R329" s="27" t="n"/>
      <c r="S329" s="28" t="n"/>
      <c r="T329" s="28" t="n"/>
      <c r="U329" s="28" t="n"/>
      <c r="V329" s="27" t="n"/>
    </row>
    <row r="330">
      <c r="A330" s="27" t="n"/>
      <c r="B330" s="28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>
        <f>IF(COUNTA(H330:L330)&gt;0,SUM(H330:L330),"")</f>
        <v/>
      </c>
      <c r="N330" s="29" t="n"/>
      <c r="O330" s="29" t="n"/>
      <c r="P330" s="29">
        <f>IF(N330="","",N330-O330)</f>
        <v/>
      </c>
      <c r="Q330" s="27" t="n"/>
      <c r="R330" s="27" t="n"/>
      <c r="S330" s="28" t="n"/>
      <c r="T330" s="28" t="n"/>
      <c r="U330" s="28" t="n"/>
      <c r="V330" s="27" t="n"/>
    </row>
    <row r="331">
      <c r="A331" s="27" t="n"/>
      <c r="B331" s="28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>
        <f>IF(COUNTA(H331:L331)&gt;0,SUM(H331:L331),"")</f>
        <v/>
      </c>
      <c r="N331" s="29" t="n"/>
      <c r="O331" s="29" t="n"/>
      <c r="P331" s="29">
        <f>IF(N331="","",N331-O331)</f>
        <v/>
      </c>
      <c r="Q331" s="27" t="n"/>
      <c r="R331" s="27" t="n"/>
      <c r="S331" s="28" t="n"/>
      <c r="T331" s="28" t="n"/>
      <c r="U331" s="28" t="n"/>
      <c r="V331" s="27" t="n"/>
    </row>
    <row r="332">
      <c r="A332" s="27" t="n"/>
      <c r="B332" s="28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>
        <f>IF(COUNTA(H332:L332)&gt;0,SUM(H332:L332),"")</f>
        <v/>
      </c>
      <c r="N332" s="29" t="n"/>
      <c r="O332" s="29" t="n"/>
      <c r="P332" s="29">
        <f>IF(N332="","",N332-O332)</f>
        <v/>
      </c>
      <c r="Q332" s="27" t="n"/>
      <c r="R332" s="27" t="n"/>
      <c r="S332" s="28" t="n"/>
      <c r="T332" s="28" t="n"/>
      <c r="U332" s="28" t="n"/>
      <c r="V332" s="27" t="n"/>
    </row>
    <row r="333">
      <c r="A333" s="27" t="n"/>
      <c r="B333" s="28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>
        <f>IF(COUNTA(H333:L333)&gt;0,SUM(H333:L333),"")</f>
        <v/>
      </c>
      <c r="N333" s="29" t="n"/>
      <c r="O333" s="29" t="n"/>
      <c r="P333" s="29">
        <f>IF(N333="","",N333-O333)</f>
        <v/>
      </c>
      <c r="Q333" s="27" t="n"/>
      <c r="R333" s="27" t="n"/>
      <c r="S333" s="28" t="n"/>
      <c r="T333" s="28" t="n"/>
      <c r="U333" s="28" t="n"/>
      <c r="V333" s="27" t="n"/>
    </row>
    <row r="334">
      <c r="A334" s="27" t="n"/>
      <c r="B334" s="28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>
        <f>IF(COUNTA(H334:L334)&gt;0,SUM(H334:L334),"")</f>
        <v/>
      </c>
      <c r="N334" s="29" t="n"/>
      <c r="O334" s="29" t="n"/>
      <c r="P334" s="29">
        <f>IF(N334="","",N334-O334)</f>
        <v/>
      </c>
      <c r="Q334" s="27" t="n"/>
      <c r="R334" s="27" t="n"/>
      <c r="S334" s="28" t="n"/>
      <c r="T334" s="28" t="n"/>
      <c r="U334" s="28" t="n"/>
      <c r="V334" s="27" t="n"/>
    </row>
    <row r="335">
      <c r="A335" s="27" t="n"/>
      <c r="B335" s="28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>
        <f>IF(COUNTA(H335:L335)&gt;0,SUM(H335:L335),"")</f>
        <v/>
      </c>
      <c r="N335" s="29" t="n"/>
      <c r="O335" s="29" t="n"/>
      <c r="P335" s="29">
        <f>IF(N335="","",N335-O335)</f>
        <v/>
      </c>
      <c r="Q335" s="27" t="n"/>
      <c r="R335" s="27" t="n"/>
      <c r="S335" s="28" t="n"/>
      <c r="T335" s="28" t="n"/>
      <c r="U335" s="28" t="n"/>
      <c r="V335" s="27" t="n"/>
    </row>
    <row r="336">
      <c r="A336" s="27" t="n"/>
      <c r="B336" s="28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>
        <f>IF(COUNTA(H336:L336)&gt;0,SUM(H336:L336),"")</f>
        <v/>
      </c>
      <c r="N336" s="29" t="n"/>
      <c r="O336" s="29" t="n"/>
      <c r="P336" s="29">
        <f>IF(N336="","",N336-O336)</f>
        <v/>
      </c>
      <c r="Q336" s="27" t="n"/>
      <c r="R336" s="27" t="n"/>
      <c r="S336" s="28" t="n"/>
      <c r="T336" s="28" t="n"/>
      <c r="U336" s="28" t="n"/>
      <c r="V336" s="27" t="n"/>
    </row>
    <row r="337">
      <c r="A337" s="27" t="n"/>
      <c r="B337" s="28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>
        <f>IF(COUNTA(H337:L337)&gt;0,SUM(H337:L337),"")</f>
        <v/>
      </c>
      <c r="N337" s="29" t="n"/>
      <c r="O337" s="29" t="n"/>
      <c r="P337" s="29">
        <f>IF(N337="","",N337-O337)</f>
        <v/>
      </c>
      <c r="Q337" s="27" t="n"/>
      <c r="R337" s="27" t="n"/>
      <c r="S337" s="28" t="n"/>
      <c r="T337" s="28" t="n"/>
      <c r="U337" s="28" t="n"/>
      <c r="V337" s="27" t="n"/>
    </row>
    <row r="338">
      <c r="A338" s="27" t="n"/>
      <c r="B338" s="28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>
        <f>IF(COUNTA(H338:L338)&gt;0,SUM(H338:L338),"")</f>
        <v/>
      </c>
      <c r="N338" s="29" t="n"/>
      <c r="O338" s="29" t="n"/>
      <c r="P338" s="29">
        <f>IF(N338="","",N338-O338)</f>
        <v/>
      </c>
      <c r="Q338" s="27" t="n"/>
      <c r="R338" s="27" t="n"/>
      <c r="S338" s="28" t="n"/>
      <c r="T338" s="28" t="n"/>
      <c r="U338" s="28" t="n"/>
      <c r="V338" s="27" t="n"/>
    </row>
    <row r="339">
      <c r="A339" s="27" t="n"/>
      <c r="B339" s="28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>
        <f>IF(COUNTA(H339:L339)&gt;0,SUM(H339:L339),"")</f>
        <v/>
      </c>
      <c r="N339" s="29" t="n"/>
      <c r="O339" s="29" t="n"/>
      <c r="P339" s="29">
        <f>IF(N339="","",N339-O339)</f>
        <v/>
      </c>
      <c r="Q339" s="27" t="n"/>
      <c r="R339" s="27" t="n"/>
      <c r="S339" s="28" t="n"/>
      <c r="T339" s="28" t="n"/>
      <c r="U339" s="28" t="n"/>
      <c r="V339" s="27" t="n"/>
    </row>
    <row r="340">
      <c r="A340" s="27" t="n"/>
      <c r="B340" s="28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>
        <f>IF(COUNTA(H340:L340)&gt;0,SUM(H340:L340),"")</f>
        <v/>
      </c>
      <c r="N340" s="29" t="n"/>
      <c r="O340" s="29" t="n"/>
      <c r="P340" s="29">
        <f>IF(N340="","",N340-O340)</f>
        <v/>
      </c>
      <c r="Q340" s="27" t="n"/>
      <c r="R340" s="27" t="n"/>
      <c r="S340" s="28" t="n"/>
      <c r="T340" s="28" t="n"/>
      <c r="U340" s="28" t="n"/>
      <c r="V340" s="27" t="n"/>
    </row>
    <row r="341">
      <c r="A341" s="27" t="n"/>
      <c r="B341" s="28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>
        <f>IF(COUNTA(H341:L341)&gt;0,SUM(H341:L341),"")</f>
        <v/>
      </c>
      <c r="N341" s="29" t="n"/>
      <c r="O341" s="29" t="n"/>
      <c r="P341" s="29">
        <f>IF(N341="","",N341-O341)</f>
        <v/>
      </c>
      <c r="Q341" s="27" t="n"/>
      <c r="R341" s="27" t="n"/>
      <c r="S341" s="28" t="n"/>
      <c r="T341" s="28" t="n"/>
      <c r="U341" s="28" t="n"/>
      <c r="V341" s="27" t="n"/>
    </row>
    <row r="342">
      <c r="A342" s="27" t="n"/>
      <c r="B342" s="28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>
        <f>IF(COUNTA(H342:L342)&gt;0,SUM(H342:L342),"")</f>
        <v/>
      </c>
      <c r="N342" s="29" t="n"/>
      <c r="O342" s="29" t="n"/>
      <c r="P342" s="29">
        <f>IF(N342="","",N342-O342)</f>
        <v/>
      </c>
      <c r="Q342" s="27" t="n"/>
      <c r="R342" s="27" t="n"/>
      <c r="S342" s="28" t="n"/>
      <c r="T342" s="28" t="n"/>
      <c r="U342" s="28" t="n"/>
      <c r="V342" s="27" t="n"/>
    </row>
    <row r="343">
      <c r="A343" s="27" t="n"/>
      <c r="B343" s="28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>
        <f>IF(COUNTA(H343:L343)&gt;0,SUM(H343:L343),"")</f>
        <v/>
      </c>
      <c r="N343" s="29" t="n"/>
      <c r="O343" s="29" t="n"/>
      <c r="P343" s="29">
        <f>IF(N343="","",N343-O343)</f>
        <v/>
      </c>
      <c r="Q343" s="27" t="n"/>
      <c r="R343" s="27" t="n"/>
      <c r="S343" s="28" t="n"/>
      <c r="T343" s="28" t="n"/>
      <c r="U343" s="28" t="n"/>
      <c r="V343" s="27" t="n"/>
    </row>
    <row r="344">
      <c r="A344" s="27" t="n"/>
      <c r="B344" s="28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>
        <f>IF(COUNTA(H344:L344)&gt;0,SUM(H344:L344),"")</f>
        <v/>
      </c>
      <c r="N344" s="29" t="n"/>
      <c r="O344" s="29" t="n"/>
      <c r="P344" s="29">
        <f>IF(N344="","",N344-O344)</f>
        <v/>
      </c>
      <c r="Q344" s="27" t="n"/>
      <c r="R344" s="27" t="n"/>
      <c r="S344" s="28" t="n"/>
      <c r="T344" s="28" t="n"/>
      <c r="U344" s="28" t="n"/>
      <c r="V344" s="27" t="n"/>
    </row>
    <row r="345">
      <c r="A345" s="27" t="n"/>
      <c r="B345" s="28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>
        <f>IF(COUNTA(H345:L345)&gt;0,SUM(H345:L345),"")</f>
        <v/>
      </c>
      <c r="N345" s="29" t="n"/>
      <c r="O345" s="29" t="n"/>
      <c r="P345" s="29">
        <f>IF(N345="","",N345-O345)</f>
        <v/>
      </c>
      <c r="Q345" s="27" t="n"/>
      <c r="R345" s="27" t="n"/>
      <c r="S345" s="28" t="n"/>
      <c r="T345" s="28" t="n"/>
      <c r="U345" s="28" t="n"/>
      <c r="V345" s="27" t="n"/>
    </row>
    <row r="346">
      <c r="A346" s="27" t="n"/>
      <c r="B346" s="28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>
        <f>IF(COUNTA(H346:L346)&gt;0,SUM(H346:L346),"")</f>
        <v/>
      </c>
      <c r="N346" s="29" t="n"/>
      <c r="O346" s="29" t="n"/>
      <c r="P346" s="29">
        <f>IF(N346="","",N346-O346)</f>
        <v/>
      </c>
      <c r="Q346" s="27" t="n"/>
      <c r="R346" s="27" t="n"/>
      <c r="S346" s="28" t="n"/>
      <c r="T346" s="28" t="n"/>
      <c r="U346" s="28" t="n"/>
      <c r="V346" s="27" t="n"/>
    </row>
    <row r="347">
      <c r="A347" s="27" t="n"/>
      <c r="B347" s="28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>
        <f>IF(COUNTA(H347:L347)&gt;0,SUM(H347:L347),"")</f>
        <v/>
      </c>
      <c r="N347" s="29" t="n"/>
      <c r="O347" s="29" t="n"/>
      <c r="P347" s="29">
        <f>IF(N347="","",N347-O347)</f>
        <v/>
      </c>
      <c r="Q347" s="27" t="n"/>
      <c r="R347" s="27" t="n"/>
      <c r="S347" s="28" t="n"/>
      <c r="T347" s="28" t="n"/>
      <c r="U347" s="28" t="n"/>
      <c r="V347" s="27" t="n"/>
    </row>
    <row r="348">
      <c r="A348" s="27" t="n"/>
      <c r="B348" s="28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>
        <f>IF(COUNTA(H348:L348)&gt;0,SUM(H348:L348),"")</f>
        <v/>
      </c>
      <c r="N348" s="29" t="n"/>
      <c r="O348" s="29" t="n"/>
      <c r="P348" s="29">
        <f>IF(N348="","",N348-O348)</f>
        <v/>
      </c>
      <c r="Q348" s="27" t="n"/>
      <c r="R348" s="27" t="n"/>
      <c r="S348" s="28" t="n"/>
      <c r="T348" s="28" t="n"/>
      <c r="U348" s="28" t="n"/>
      <c r="V348" s="27" t="n"/>
    </row>
    <row r="349">
      <c r="A349" s="27" t="n"/>
      <c r="B349" s="28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>
        <f>IF(COUNTA(H349:L349)&gt;0,SUM(H349:L349),"")</f>
        <v/>
      </c>
      <c r="N349" s="29" t="n"/>
      <c r="O349" s="29" t="n"/>
      <c r="P349" s="29">
        <f>IF(N349="","",N349-O349)</f>
        <v/>
      </c>
      <c r="Q349" s="27" t="n"/>
      <c r="R349" s="27" t="n"/>
      <c r="S349" s="28" t="n"/>
      <c r="T349" s="28" t="n"/>
      <c r="U349" s="28" t="n"/>
      <c r="V349" s="27" t="n"/>
    </row>
    <row r="350">
      <c r="A350" s="27" t="n"/>
      <c r="B350" s="28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>
        <f>IF(COUNTA(H350:L350)&gt;0,SUM(H350:L350),"")</f>
        <v/>
      </c>
      <c r="N350" s="29" t="n"/>
      <c r="O350" s="29" t="n"/>
      <c r="P350" s="29">
        <f>IF(N350="","",N350-O350)</f>
        <v/>
      </c>
      <c r="Q350" s="27" t="n"/>
      <c r="R350" s="27" t="n"/>
      <c r="S350" s="28" t="n"/>
      <c r="T350" s="28" t="n"/>
      <c r="U350" s="28" t="n"/>
      <c r="V350" s="27" t="n"/>
    </row>
    <row r="351">
      <c r="A351" s="27" t="n"/>
      <c r="B351" s="28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>
        <f>IF(COUNTA(H351:L351)&gt;0,SUM(H351:L351),"")</f>
        <v/>
      </c>
      <c r="N351" s="29" t="n"/>
      <c r="O351" s="29" t="n"/>
      <c r="P351" s="29">
        <f>IF(N351="","",N351-O351)</f>
        <v/>
      </c>
      <c r="Q351" s="27" t="n"/>
      <c r="R351" s="27" t="n"/>
      <c r="S351" s="28" t="n"/>
      <c r="T351" s="28" t="n"/>
      <c r="U351" s="28" t="n"/>
      <c r="V351" s="27" t="n"/>
    </row>
    <row r="352">
      <c r="A352" s="27" t="n"/>
      <c r="B352" s="28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>
        <f>IF(COUNTA(H352:L352)&gt;0,SUM(H352:L352),"")</f>
        <v/>
      </c>
      <c r="N352" s="29" t="n"/>
      <c r="O352" s="29" t="n"/>
      <c r="P352" s="29">
        <f>IF(N352="","",N352-O352)</f>
        <v/>
      </c>
      <c r="Q352" s="27" t="n"/>
      <c r="R352" s="27" t="n"/>
      <c r="S352" s="28" t="n"/>
      <c r="T352" s="28" t="n"/>
      <c r="U352" s="28" t="n"/>
      <c r="V352" s="27" t="n"/>
    </row>
    <row r="353">
      <c r="A353" s="27" t="n"/>
      <c r="B353" s="28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>
        <f>IF(COUNTA(H353:L353)&gt;0,SUM(H353:L353),"")</f>
        <v/>
      </c>
      <c r="N353" s="29" t="n"/>
      <c r="O353" s="29" t="n"/>
      <c r="P353" s="29">
        <f>IF(N353="","",N353-O353)</f>
        <v/>
      </c>
      <c r="Q353" s="27" t="n"/>
      <c r="R353" s="27" t="n"/>
      <c r="S353" s="28" t="n"/>
      <c r="T353" s="28" t="n"/>
      <c r="U353" s="28" t="n"/>
      <c r="V353" s="27" t="n"/>
    </row>
    <row r="354">
      <c r="A354" s="27" t="n"/>
      <c r="B354" s="28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>
        <f>IF(COUNTA(H354:L354)&gt;0,SUM(H354:L354),"")</f>
        <v/>
      </c>
      <c r="N354" s="29" t="n"/>
      <c r="O354" s="29" t="n"/>
      <c r="P354" s="29">
        <f>IF(N354="","",N354-O354)</f>
        <v/>
      </c>
      <c r="Q354" s="27" t="n"/>
      <c r="R354" s="27" t="n"/>
      <c r="S354" s="28" t="n"/>
      <c r="T354" s="28" t="n"/>
      <c r="U354" s="28" t="n"/>
      <c r="V354" s="27" t="n"/>
    </row>
    <row r="355">
      <c r="A355" s="27" t="n"/>
      <c r="B355" s="28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>
        <f>IF(COUNTA(H355:L355)&gt;0,SUM(H355:L355),"")</f>
        <v/>
      </c>
      <c r="N355" s="29" t="n"/>
      <c r="O355" s="29" t="n"/>
      <c r="P355" s="29">
        <f>IF(N355="","",N355-O355)</f>
        <v/>
      </c>
      <c r="Q355" s="27" t="n"/>
      <c r="R355" s="27" t="n"/>
      <c r="S355" s="28" t="n"/>
      <c r="T355" s="28" t="n"/>
      <c r="U355" s="28" t="n"/>
      <c r="V355" s="27" t="n"/>
    </row>
    <row r="356">
      <c r="A356" s="27" t="n"/>
      <c r="B356" s="28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>
        <f>IF(COUNTA(H356:L356)&gt;0,SUM(H356:L356),"")</f>
        <v/>
      </c>
      <c r="N356" s="29" t="n"/>
      <c r="O356" s="29" t="n"/>
      <c r="P356" s="29">
        <f>IF(N356="","",N356-O356)</f>
        <v/>
      </c>
      <c r="Q356" s="27" t="n"/>
      <c r="R356" s="27" t="n"/>
      <c r="S356" s="28" t="n"/>
      <c r="T356" s="28" t="n"/>
      <c r="U356" s="28" t="n"/>
      <c r="V356" s="27" t="n"/>
    </row>
    <row r="357">
      <c r="A357" s="27" t="n"/>
      <c r="B357" s="28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>
        <f>IF(COUNTA(H357:L357)&gt;0,SUM(H357:L357),"")</f>
        <v/>
      </c>
      <c r="N357" s="29" t="n"/>
      <c r="O357" s="29" t="n"/>
      <c r="P357" s="29">
        <f>IF(N357="","",N357-O357)</f>
        <v/>
      </c>
      <c r="Q357" s="27" t="n"/>
      <c r="R357" s="27" t="n"/>
      <c r="S357" s="28" t="n"/>
      <c r="T357" s="28" t="n"/>
      <c r="U357" s="28" t="n"/>
      <c r="V357" s="27" t="n"/>
    </row>
    <row r="358">
      <c r="A358" s="27" t="n"/>
      <c r="B358" s="28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>
        <f>IF(COUNTA(H358:L358)&gt;0,SUM(H358:L358),"")</f>
        <v/>
      </c>
      <c r="N358" s="29" t="n"/>
      <c r="O358" s="29" t="n"/>
      <c r="P358" s="29">
        <f>IF(N358="","",N358-O358)</f>
        <v/>
      </c>
      <c r="Q358" s="27" t="n"/>
      <c r="R358" s="27" t="n"/>
      <c r="S358" s="28" t="n"/>
      <c r="T358" s="28" t="n"/>
      <c r="U358" s="28" t="n"/>
      <c r="V358" s="27" t="n"/>
    </row>
    <row r="359">
      <c r="A359" s="27" t="n"/>
      <c r="B359" s="28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>
        <f>IF(COUNTA(H359:L359)&gt;0,SUM(H359:L359),"")</f>
        <v/>
      </c>
      <c r="N359" s="29" t="n"/>
      <c r="O359" s="29" t="n"/>
      <c r="P359" s="29">
        <f>IF(N359="","",N359-O359)</f>
        <v/>
      </c>
      <c r="Q359" s="27" t="n"/>
      <c r="R359" s="27" t="n"/>
      <c r="S359" s="28" t="n"/>
      <c r="T359" s="28" t="n"/>
      <c r="U359" s="28" t="n"/>
      <c r="V359" s="27" t="n"/>
    </row>
    <row r="360">
      <c r="A360" s="27" t="n"/>
      <c r="B360" s="28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>
        <f>IF(COUNTA(H360:L360)&gt;0,SUM(H360:L360),"")</f>
        <v/>
      </c>
      <c r="N360" s="29" t="n"/>
      <c r="O360" s="29" t="n"/>
      <c r="P360" s="29">
        <f>IF(N360="","",N360-O360)</f>
        <v/>
      </c>
      <c r="Q360" s="27" t="n"/>
      <c r="R360" s="27" t="n"/>
      <c r="S360" s="28" t="n"/>
      <c r="T360" s="28" t="n"/>
      <c r="U360" s="28" t="n"/>
      <c r="V360" s="27" t="n"/>
    </row>
    <row r="361">
      <c r="A361" s="27" t="n"/>
      <c r="B361" s="28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>
        <f>IF(COUNTA(H361:L361)&gt;0,SUM(H361:L361),"")</f>
        <v/>
      </c>
      <c r="N361" s="29" t="n"/>
      <c r="O361" s="29" t="n"/>
      <c r="P361" s="29">
        <f>IF(N361="","",N361-O361)</f>
        <v/>
      </c>
      <c r="Q361" s="27" t="n"/>
      <c r="R361" s="27" t="n"/>
      <c r="S361" s="28" t="n"/>
      <c r="T361" s="28" t="n"/>
      <c r="U361" s="28" t="n"/>
      <c r="V361" s="27" t="n"/>
    </row>
    <row r="362">
      <c r="A362" s="27" t="n"/>
      <c r="B362" s="28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>
        <f>IF(COUNTA(H362:L362)&gt;0,SUM(H362:L362),"")</f>
        <v/>
      </c>
      <c r="N362" s="29" t="n"/>
      <c r="O362" s="29" t="n"/>
      <c r="P362" s="29">
        <f>IF(N362="","",N362-O362)</f>
        <v/>
      </c>
      <c r="Q362" s="27" t="n"/>
      <c r="R362" s="27" t="n"/>
      <c r="S362" s="28" t="n"/>
      <c r="T362" s="28" t="n"/>
      <c r="U362" s="28" t="n"/>
      <c r="V362" s="27" t="n"/>
    </row>
    <row r="363">
      <c r="A363" s="27" t="n"/>
      <c r="B363" s="28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>
        <f>IF(COUNTA(H363:L363)&gt;0,SUM(H363:L363),"")</f>
        <v/>
      </c>
      <c r="N363" s="29" t="n"/>
      <c r="O363" s="29" t="n"/>
      <c r="P363" s="29">
        <f>IF(N363="","",N363-O363)</f>
        <v/>
      </c>
      <c r="Q363" s="27" t="n"/>
      <c r="R363" s="27" t="n"/>
      <c r="S363" s="28" t="n"/>
      <c r="T363" s="28" t="n"/>
      <c r="U363" s="28" t="n"/>
      <c r="V363" s="27" t="n"/>
    </row>
    <row r="364">
      <c r="A364" s="27" t="n"/>
      <c r="B364" s="28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>
        <f>IF(COUNTA(H364:L364)&gt;0,SUM(H364:L364),"")</f>
        <v/>
      </c>
      <c r="N364" s="29" t="n"/>
      <c r="O364" s="29" t="n"/>
      <c r="P364" s="29">
        <f>IF(N364="","",N364-O364)</f>
        <v/>
      </c>
      <c r="Q364" s="27" t="n"/>
      <c r="R364" s="27" t="n"/>
      <c r="S364" s="28" t="n"/>
      <c r="T364" s="28" t="n"/>
      <c r="U364" s="28" t="n"/>
      <c r="V364" s="27" t="n"/>
    </row>
    <row r="365">
      <c r="A365" s="27" t="n"/>
      <c r="B365" s="28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>
        <f>IF(COUNTA(H365:L365)&gt;0,SUM(H365:L365),"")</f>
        <v/>
      </c>
      <c r="N365" s="29" t="n"/>
      <c r="O365" s="29" t="n"/>
      <c r="P365" s="29">
        <f>IF(N365="","",N365-O365)</f>
        <v/>
      </c>
      <c r="Q365" s="27" t="n"/>
      <c r="R365" s="27" t="n"/>
      <c r="S365" s="28" t="n"/>
      <c r="T365" s="28" t="n"/>
      <c r="U365" s="28" t="n"/>
      <c r="V365" s="27" t="n"/>
    </row>
    <row r="366">
      <c r="A366" s="27" t="n"/>
      <c r="B366" s="28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>
        <f>IF(COUNTA(H366:L366)&gt;0,SUM(H366:L366),"")</f>
        <v/>
      </c>
      <c r="N366" s="29" t="n"/>
      <c r="O366" s="29" t="n"/>
      <c r="P366" s="29">
        <f>IF(N366="","",N366-O366)</f>
        <v/>
      </c>
      <c r="Q366" s="27" t="n"/>
      <c r="R366" s="27" t="n"/>
      <c r="S366" s="28" t="n"/>
      <c r="T366" s="28" t="n"/>
      <c r="U366" s="28" t="n"/>
      <c r="V366" s="27" t="n"/>
    </row>
    <row r="367">
      <c r="A367" s="27" t="n"/>
      <c r="B367" s="28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>
        <f>IF(COUNTA(H367:L367)&gt;0,SUM(H367:L367),"")</f>
        <v/>
      </c>
      <c r="N367" s="29" t="n"/>
      <c r="O367" s="29" t="n"/>
      <c r="P367" s="29">
        <f>IF(N367="","",N367-O367)</f>
        <v/>
      </c>
      <c r="Q367" s="27" t="n"/>
      <c r="R367" s="27" t="n"/>
      <c r="S367" s="28" t="n"/>
      <c r="T367" s="28" t="n"/>
      <c r="U367" s="28" t="n"/>
      <c r="V367" s="27" t="n"/>
    </row>
    <row r="368">
      <c r="A368" s="27" t="n"/>
      <c r="B368" s="28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>
        <f>IF(COUNTA(H368:L368)&gt;0,SUM(H368:L368),"")</f>
        <v/>
      </c>
      <c r="N368" s="29" t="n"/>
      <c r="O368" s="29" t="n"/>
      <c r="P368" s="29">
        <f>IF(N368="","",N368-O368)</f>
        <v/>
      </c>
      <c r="Q368" s="27" t="n"/>
      <c r="R368" s="27" t="n"/>
      <c r="S368" s="28" t="n"/>
      <c r="T368" s="28" t="n"/>
      <c r="U368" s="28" t="n"/>
      <c r="V368" s="27" t="n"/>
    </row>
    <row r="369">
      <c r="A369" s="27" t="n"/>
      <c r="B369" s="28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>
        <f>IF(COUNTA(H369:L369)&gt;0,SUM(H369:L369),"")</f>
        <v/>
      </c>
      <c r="N369" s="29" t="n"/>
      <c r="O369" s="29" t="n"/>
      <c r="P369" s="29">
        <f>IF(N369="","",N369-O369)</f>
        <v/>
      </c>
      <c r="Q369" s="27" t="n"/>
      <c r="R369" s="27" t="n"/>
      <c r="S369" s="28" t="n"/>
      <c r="T369" s="28" t="n"/>
      <c r="U369" s="28" t="n"/>
      <c r="V369" s="27" t="n"/>
    </row>
    <row r="370">
      <c r="A370" s="27" t="n"/>
      <c r="B370" s="28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>
        <f>IF(COUNTA(H370:L370)&gt;0,SUM(H370:L370),"")</f>
        <v/>
      </c>
      <c r="N370" s="29" t="n"/>
      <c r="O370" s="29" t="n"/>
      <c r="P370" s="29">
        <f>IF(N370="","",N370-O370)</f>
        <v/>
      </c>
      <c r="Q370" s="27" t="n"/>
      <c r="R370" s="27" t="n"/>
      <c r="S370" s="28" t="n"/>
      <c r="T370" s="28" t="n"/>
      <c r="U370" s="28" t="n"/>
      <c r="V370" s="27" t="n"/>
    </row>
    <row r="371">
      <c r="A371" s="27" t="n"/>
      <c r="B371" s="28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>
        <f>IF(COUNTA(H371:L371)&gt;0,SUM(H371:L371),"")</f>
        <v/>
      </c>
      <c r="N371" s="29" t="n"/>
      <c r="O371" s="29" t="n"/>
      <c r="P371" s="29">
        <f>IF(N371="","",N371-O371)</f>
        <v/>
      </c>
      <c r="Q371" s="27" t="n"/>
      <c r="R371" s="27" t="n"/>
      <c r="S371" s="28" t="n"/>
      <c r="T371" s="28" t="n"/>
      <c r="U371" s="28" t="n"/>
      <c r="V371" s="27" t="n"/>
    </row>
    <row r="372">
      <c r="A372" s="27" t="n"/>
      <c r="B372" s="28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>
        <f>IF(COUNTA(H372:L372)&gt;0,SUM(H372:L372),"")</f>
        <v/>
      </c>
      <c r="N372" s="29" t="n"/>
      <c r="O372" s="29" t="n"/>
      <c r="P372" s="29">
        <f>IF(N372="","",N372-O372)</f>
        <v/>
      </c>
      <c r="Q372" s="27" t="n"/>
      <c r="R372" s="27" t="n"/>
      <c r="S372" s="28" t="n"/>
      <c r="T372" s="28" t="n"/>
      <c r="U372" s="28" t="n"/>
      <c r="V372" s="27" t="n"/>
    </row>
    <row r="373">
      <c r="A373" s="27" t="n"/>
      <c r="B373" s="28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>
        <f>IF(COUNTA(H373:L373)&gt;0,SUM(H373:L373),"")</f>
        <v/>
      </c>
      <c r="N373" s="29" t="n"/>
      <c r="O373" s="29" t="n"/>
      <c r="P373" s="29">
        <f>IF(N373="","",N373-O373)</f>
        <v/>
      </c>
      <c r="Q373" s="27" t="n"/>
      <c r="R373" s="27" t="n"/>
      <c r="S373" s="28" t="n"/>
      <c r="T373" s="28" t="n"/>
      <c r="U373" s="28" t="n"/>
      <c r="V373" s="27" t="n"/>
    </row>
    <row r="374">
      <c r="A374" s="27" t="n"/>
      <c r="B374" s="28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>
        <f>IF(COUNTA(H374:L374)&gt;0,SUM(H374:L374),"")</f>
        <v/>
      </c>
      <c r="N374" s="29" t="n"/>
      <c r="O374" s="29" t="n"/>
      <c r="P374" s="29">
        <f>IF(N374="","",N374-O374)</f>
        <v/>
      </c>
      <c r="Q374" s="27" t="n"/>
      <c r="R374" s="27" t="n"/>
      <c r="S374" s="28" t="n"/>
      <c r="T374" s="28" t="n"/>
      <c r="U374" s="28" t="n"/>
      <c r="V374" s="27" t="n"/>
    </row>
    <row r="375">
      <c r="A375" s="27" t="n"/>
      <c r="B375" s="28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>
        <f>IF(COUNTA(H375:L375)&gt;0,SUM(H375:L375),"")</f>
        <v/>
      </c>
      <c r="N375" s="29" t="n"/>
      <c r="O375" s="29" t="n"/>
      <c r="P375" s="29">
        <f>IF(N375="","",N375-O375)</f>
        <v/>
      </c>
      <c r="Q375" s="27" t="n"/>
      <c r="R375" s="27" t="n"/>
      <c r="S375" s="28" t="n"/>
      <c r="T375" s="28" t="n"/>
      <c r="U375" s="28" t="n"/>
      <c r="V375" s="27" t="n"/>
    </row>
    <row r="376">
      <c r="A376" s="27" t="n"/>
      <c r="B376" s="28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>
        <f>IF(COUNTA(H376:L376)&gt;0,SUM(H376:L376),"")</f>
        <v/>
      </c>
      <c r="N376" s="29" t="n"/>
      <c r="O376" s="29" t="n"/>
      <c r="P376" s="29">
        <f>IF(N376="","",N376-O376)</f>
        <v/>
      </c>
      <c r="Q376" s="27" t="n"/>
      <c r="R376" s="27" t="n"/>
      <c r="S376" s="28" t="n"/>
      <c r="T376" s="28" t="n"/>
      <c r="U376" s="28" t="n"/>
      <c r="V376" s="27" t="n"/>
    </row>
    <row r="377">
      <c r="A377" s="27" t="n"/>
      <c r="B377" s="28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>
        <f>IF(COUNTA(H377:L377)&gt;0,SUM(H377:L377),"")</f>
        <v/>
      </c>
      <c r="N377" s="29" t="n"/>
      <c r="O377" s="29" t="n"/>
      <c r="P377" s="29">
        <f>IF(N377="","",N377-O377)</f>
        <v/>
      </c>
      <c r="Q377" s="27" t="n"/>
      <c r="R377" s="27" t="n"/>
      <c r="S377" s="28" t="n"/>
      <c r="T377" s="28" t="n"/>
      <c r="U377" s="28" t="n"/>
      <c r="V377" s="27" t="n"/>
    </row>
    <row r="378">
      <c r="A378" s="27" t="n"/>
      <c r="B378" s="28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>
        <f>IF(COUNTA(H378:L378)&gt;0,SUM(H378:L378),"")</f>
        <v/>
      </c>
      <c r="N378" s="29" t="n"/>
      <c r="O378" s="29" t="n"/>
      <c r="P378" s="29">
        <f>IF(N378="","",N378-O378)</f>
        <v/>
      </c>
      <c r="Q378" s="27" t="n"/>
      <c r="R378" s="27" t="n"/>
      <c r="S378" s="28" t="n"/>
      <c r="T378" s="28" t="n"/>
      <c r="U378" s="28" t="n"/>
      <c r="V378" s="27" t="n"/>
    </row>
    <row r="379">
      <c r="A379" s="27" t="n"/>
      <c r="B379" s="28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>
        <f>IF(COUNTA(H379:L379)&gt;0,SUM(H379:L379),"")</f>
        <v/>
      </c>
      <c r="N379" s="29" t="n"/>
      <c r="O379" s="29" t="n"/>
      <c r="P379" s="29">
        <f>IF(N379="","",N379-O379)</f>
        <v/>
      </c>
      <c r="Q379" s="27" t="n"/>
      <c r="R379" s="27" t="n"/>
      <c r="S379" s="28" t="n"/>
      <c r="T379" s="28" t="n"/>
      <c r="U379" s="28" t="n"/>
      <c r="V379" s="27" t="n"/>
    </row>
    <row r="380">
      <c r="A380" s="27" t="n"/>
      <c r="B380" s="28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>
        <f>IF(COUNTA(H380:L380)&gt;0,SUM(H380:L380),"")</f>
        <v/>
      </c>
      <c r="N380" s="29" t="n"/>
      <c r="O380" s="29" t="n"/>
      <c r="P380" s="29">
        <f>IF(N380="","",N380-O380)</f>
        <v/>
      </c>
      <c r="Q380" s="27" t="n"/>
      <c r="R380" s="27" t="n"/>
      <c r="S380" s="28" t="n"/>
      <c r="T380" s="28" t="n"/>
      <c r="U380" s="28" t="n"/>
      <c r="V380" s="27" t="n"/>
    </row>
    <row r="381">
      <c r="A381" s="27" t="n"/>
      <c r="B381" s="28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>
        <f>IF(COUNTA(H381:L381)&gt;0,SUM(H381:L381),"")</f>
        <v/>
      </c>
      <c r="N381" s="29" t="n"/>
      <c r="O381" s="29" t="n"/>
      <c r="P381" s="29">
        <f>IF(N381="","",N381-O381)</f>
        <v/>
      </c>
      <c r="Q381" s="27" t="n"/>
      <c r="R381" s="27" t="n"/>
      <c r="S381" s="28" t="n"/>
      <c r="T381" s="28" t="n"/>
      <c r="U381" s="28" t="n"/>
      <c r="V381" s="27" t="n"/>
    </row>
    <row r="382">
      <c r="A382" s="27" t="n"/>
      <c r="B382" s="28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>
        <f>IF(COUNTA(H382:L382)&gt;0,SUM(H382:L382),"")</f>
        <v/>
      </c>
      <c r="N382" s="29" t="n"/>
      <c r="O382" s="29" t="n"/>
      <c r="P382" s="29">
        <f>IF(N382="","",N382-O382)</f>
        <v/>
      </c>
      <c r="Q382" s="27" t="n"/>
      <c r="R382" s="27" t="n"/>
      <c r="S382" s="28" t="n"/>
      <c r="T382" s="28" t="n"/>
      <c r="U382" s="28" t="n"/>
      <c r="V382" s="27" t="n"/>
    </row>
    <row r="383">
      <c r="A383" s="27" t="n"/>
      <c r="B383" s="28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>
        <f>IF(COUNTA(H383:L383)&gt;0,SUM(H383:L383),"")</f>
        <v/>
      </c>
      <c r="N383" s="29" t="n"/>
      <c r="O383" s="29" t="n"/>
      <c r="P383" s="29">
        <f>IF(N383="","",N383-O383)</f>
        <v/>
      </c>
      <c r="Q383" s="27" t="n"/>
      <c r="R383" s="27" t="n"/>
      <c r="S383" s="28" t="n"/>
      <c r="T383" s="28" t="n"/>
      <c r="U383" s="28" t="n"/>
      <c r="V383" s="27" t="n"/>
    </row>
    <row r="384">
      <c r="A384" s="27" t="n"/>
      <c r="B384" s="28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>
        <f>IF(COUNTA(H384:L384)&gt;0,SUM(H384:L384),"")</f>
        <v/>
      </c>
      <c r="N384" s="29" t="n"/>
      <c r="O384" s="29" t="n"/>
      <c r="P384" s="29">
        <f>IF(N384="","",N384-O384)</f>
        <v/>
      </c>
      <c r="Q384" s="27" t="n"/>
      <c r="R384" s="27" t="n"/>
      <c r="S384" s="28" t="n"/>
      <c r="T384" s="28" t="n"/>
      <c r="U384" s="28" t="n"/>
      <c r="V384" s="27" t="n"/>
    </row>
    <row r="385">
      <c r="A385" s="27" t="n"/>
      <c r="B385" s="28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>
        <f>IF(COUNTA(H385:L385)&gt;0,SUM(H385:L385),"")</f>
        <v/>
      </c>
      <c r="N385" s="29" t="n"/>
      <c r="O385" s="29" t="n"/>
      <c r="P385" s="29">
        <f>IF(N385="","",N385-O385)</f>
        <v/>
      </c>
      <c r="Q385" s="27" t="n"/>
      <c r="R385" s="27" t="n"/>
      <c r="S385" s="28" t="n"/>
      <c r="T385" s="28" t="n"/>
      <c r="U385" s="28" t="n"/>
      <c r="V385" s="27" t="n"/>
    </row>
    <row r="386">
      <c r="A386" s="27" t="n"/>
      <c r="B386" s="28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>
        <f>IF(COUNTA(H386:L386)&gt;0,SUM(H386:L386),"")</f>
        <v/>
      </c>
      <c r="N386" s="29" t="n"/>
      <c r="O386" s="29" t="n"/>
      <c r="P386" s="29">
        <f>IF(N386="","",N386-O386)</f>
        <v/>
      </c>
      <c r="Q386" s="27" t="n"/>
      <c r="R386" s="27" t="n"/>
      <c r="S386" s="28" t="n"/>
      <c r="T386" s="28" t="n"/>
      <c r="U386" s="28" t="n"/>
      <c r="V386" s="27" t="n"/>
    </row>
    <row r="387">
      <c r="A387" s="27" t="n"/>
      <c r="B387" s="28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>
        <f>IF(COUNTA(H387:L387)&gt;0,SUM(H387:L387),"")</f>
        <v/>
      </c>
      <c r="N387" s="29" t="n"/>
      <c r="O387" s="29" t="n"/>
      <c r="P387" s="29">
        <f>IF(N387="","",N387-O387)</f>
        <v/>
      </c>
      <c r="Q387" s="27" t="n"/>
      <c r="R387" s="27" t="n"/>
      <c r="S387" s="28" t="n"/>
      <c r="T387" s="28" t="n"/>
      <c r="U387" s="28" t="n"/>
      <c r="V387" s="27" t="n"/>
    </row>
    <row r="388">
      <c r="A388" s="27" t="n"/>
      <c r="B388" s="28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>
        <f>IF(COUNTA(H388:L388)&gt;0,SUM(H388:L388),"")</f>
        <v/>
      </c>
      <c r="N388" s="29" t="n"/>
      <c r="O388" s="29" t="n"/>
      <c r="P388" s="29">
        <f>IF(N388="","",N388-O388)</f>
        <v/>
      </c>
      <c r="Q388" s="27" t="n"/>
      <c r="R388" s="27" t="n"/>
      <c r="S388" s="28" t="n"/>
      <c r="T388" s="28" t="n"/>
      <c r="U388" s="28" t="n"/>
      <c r="V388" s="27" t="n"/>
    </row>
    <row r="389">
      <c r="A389" s="27" t="n"/>
      <c r="B389" s="28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>
        <f>IF(COUNTA(H389:L389)&gt;0,SUM(H389:L389),"")</f>
        <v/>
      </c>
      <c r="N389" s="29" t="n"/>
      <c r="O389" s="29" t="n"/>
      <c r="P389" s="29">
        <f>IF(N389="","",N389-O389)</f>
        <v/>
      </c>
      <c r="Q389" s="27" t="n"/>
      <c r="R389" s="27" t="n"/>
      <c r="S389" s="28" t="n"/>
      <c r="T389" s="28" t="n"/>
      <c r="U389" s="28" t="n"/>
      <c r="V389" s="27" t="n"/>
    </row>
    <row r="390">
      <c r="A390" s="27" t="n"/>
      <c r="B390" s="28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>
        <f>IF(COUNTA(H390:L390)&gt;0,SUM(H390:L390),"")</f>
        <v/>
      </c>
      <c r="N390" s="29" t="n"/>
      <c r="O390" s="29" t="n"/>
      <c r="P390" s="29">
        <f>IF(N390="","",N390-O390)</f>
        <v/>
      </c>
      <c r="Q390" s="27" t="n"/>
      <c r="R390" s="27" t="n"/>
      <c r="S390" s="28" t="n"/>
      <c r="T390" s="28" t="n"/>
      <c r="U390" s="28" t="n"/>
      <c r="V390" s="27" t="n"/>
    </row>
    <row r="391">
      <c r="A391" s="27" t="n"/>
      <c r="B391" s="28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>
        <f>IF(COUNTA(H391:L391)&gt;0,SUM(H391:L391),"")</f>
        <v/>
      </c>
      <c r="N391" s="29" t="n"/>
      <c r="O391" s="29" t="n"/>
      <c r="P391" s="29">
        <f>IF(N391="","",N391-O391)</f>
        <v/>
      </c>
      <c r="Q391" s="27" t="n"/>
      <c r="R391" s="27" t="n"/>
      <c r="S391" s="28" t="n"/>
      <c r="T391" s="28" t="n"/>
      <c r="U391" s="28" t="n"/>
      <c r="V391" s="27" t="n"/>
    </row>
    <row r="392">
      <c r="A392" s="27" t="n"/>
      <c r="B392" s="28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>
        <f>IF(COUNTA(H392:L392)&gt;0,SUM(H392:L392),"")</f>
        <v/>
      </c>
      <c r="N392" s="29" t="n"/>
      <c r="O392" s="29" t="n"/>
      <c r="P392" s="29">
        <f>IF(N392="","",N392-O392)</f>
        <v/>
      </c>
      <c r="Q392" s="27" t="n"/>
      <c r="R392" s="27" t="n"/>
      <c r="S392" s="28" t="n"/>
      <c r="T392" s="28" t="n"/>
      <c r="U392" s="28" t="n"/>
      <c r="V392" s="27" t="n"/>
    </row>
    <row r="393">
      <c r="A393" s="27" t="n"/>
      <c r="B393" s="28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>
        <f>IF(COUNTA(H393:L393)&gt;0,SUM(H393:L393),"")</f>
        <v/>
      </c>
      <c r="N393" s="29" t="n"/>
      <c r="O393" s="29" t="n"/>
      <c r="P393" s="29">
        <f>IF(N393="","",N393-O393)</f>
        <v/>
      </c>
      <c r="Q393" s="27" t="n"/>
      <c r="R393" s="27" t="n"/>
      <c r="S393" s="28" t="n"/>
      <c r="T393" s="28" t="n"/>
      <c r="U393" s="28" t="n"/>
      <c r="V393" s="27" t="n"/>
    </row>
    <row r="394">
      <c r="A394" s="27" t="n"/>
      <c r="B394" s="28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>
        <f>IF(COUNTA(H394:L394)&gt;0,SUM(H394:L394),"")</f>
        <v/>
      </c>
      <c r="N394" s="29" t="n"/>
      <c r="O394" s="29" t="n"/>
      <c r="P394" s="29">
        <f>IF(N394="","",N394-O394)</f>
        <v/>
      </c>
      <c r="Q394" s="27" t="n"/>
      <c r="R394" s="27" t="n"/>
      <c r="S394" s="28" t="n"/>
      <c r="T394" s="28" t="n"/>
      <c r="U394" s="28" t="n"/>
      <c r="V394" s="27" t="n"/>
    </row>
    <row r="395">
      <c r="A395" s="27" t="n"/>
      <c r="B395" s="28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>
        <f>IF(COUNTA(H395:L395)&gt;0,SUM(H395:L395),"")</f>
        <v/>
      </c>
      <c r="N395" s="29" t="n"/>
      <c r="O395" s="29" t="n"/>
      <c r="P395" s="29">
        <f>IF(N395="","",N395-O395)</f>
        <v/>
      </c>
      <c r="Q395" s="27" t="n"/>
      <c r="R395" s="27" t="n"/>
      <c r="S395" s="28" t="n"/>
      <c r="T395" s="28" t="n"/>
      <c r="U395" s="28" t="n"/>
      <c r="V395" s="27" t="n"/>
    </row>
    <row r="396">
      <c r="A396" s="27" t="n"/>
      <c r="B396" s="28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>
        <f>IF(COUNTA(H396:L396)&gt;0,SUM(H396:L396),"")</f>
        <v/>
      </c>
      <c r="N396" s="29" t="n"/>
      <c r="O396" s="29" t="n"/>
      <c r="P396" s="29">
        <f>IF(N396="","",N396-O396)</f>
        <v/>
      </c>
      <c r="Q396" s="27" t="n"/>
      <c r="R396" s="27" t="n"/>
      <c r="S396" s="28" t="n"/>
      <c r="T396" s="28" t="n"/>
      <c r="U396" s="28" t="n"/>
      <c r="V396" s="27" t="n"/>
    </row>
    <row r="397">
      <c r="A397" s="27" t="n"/>
      <c r="B397" s="28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>
        <f>IF(COUNTA(H397:L397)&gt;0,SUM(H397:L397),"")</f>
        <v/>
      </c>
      <c r="N397" s="29" t="n"/>
      <c r="O397" s="29" t="n"/>
      <c r="P397" s="29">
        <f>IF(N397="","",N397-O397)</f>
        <v/>
      </c>
      <c r="Q397" s="27" t="n"/>
      <c r="R397" s="27" t="n"/>
      <c r="S397" s="28" t="n"/>
      <c r="T397" s="28" t="n"/>
      <c r="U397" s="28" t="n"/>
      <c r="V397" s="27" t="n"/>
    </row>
    <row r="398">
      <c r="A398" s="27" t="n"/>
      <c r="B398" s="28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>
        <f>IF(COUNTA(H398:L398)&gt;0,SUM(H398:L398),"")</f>
        <v/>
      </c>
      <c r="N398" s="29" t="n"/>
      <c r="O398" s="29" t="n"/>
      <c r="P398" s="29">
        <f>IF(N398="","",N398-O398)</f>
        <v/>
      </c>
      <c r="Q398" s="27" t="n"/>
      <c r="R398" s="27" t="n"/>
      <c r="S398" s="28" t="n"/>
      <c r="T398" s="28" t="n"/>
      <c r="U398" s="28" t="n"/>
      <c r="V398" s="27" t="n"/>
    </row>
    <row r="399">
      <c r="A399" s="27" t="n"/>
      <c r="B399" s="28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>
        <f>IF(COUNTA(H399:L399)&gt;0,SUM(H399:L399),"")</f>
        <v/>
      </c>
      <c r="N399" s="29" t="n"/>
      <c r="O399" s="29" t="n"/>
      <c r="P399" s="29">
        <f>IF(N399="","",N399-O399)</f>
        <v/>
      </c>
      <c r="Q399" s="27" t="n"/>
      <c r="R399" s="27" t="n"/>
      <c r="S399" s="28" t="n"/>
      <c r="T399" s="28" t="n"/>
      <c r="U399" s="28" t="n"/>
      <c r="V399" s="27" t="n"/>
    </row>
    <row r="400">
      <c r="A400" s="27" t="n"/>
      <c r="B400" s="28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>
        <f>IF(COUNTA(H400:L400)&gt;0,SUM(H400:L400),"")</f>
        <v/>
      </c>
      <c r="N400" s="29" t="n"/>
      <c r="O400" s="29" t="n"/>
      <c r="P400" s="29">
        <f>IF(N400="","",N400-O400)</f>
        <v/>
      </c>
      <c r="Q400" s="27" t="n"/>
      <c r="R400" s="27" t="n"/>
      <c r="S400" s="28" t="n"/>
      <c r="T400" s="28" t="n"/>
      <c r="U400" s="28" t="n"/>
      <c r="V400" s="27" t="n"/>
    </row>
    <row r="401">
      <c r="A401" s="27" t="n"/>
      <c r="B401" s="28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>
        <f>IF(COUNTA(H401:L401)&gt;0,SUM(H401:L401),"")</f>
        <v/>
      </c>
      <c r="N401" s="29" t="n"/>
      <c r="O401" s="29" t="n"/>
      <c r="P401" s="29">
        <f>IF(N401="","",N401-O401)</f>
        <v/>
      </c>
      <c r="Q401" s="27" t="n"/>
      <c r="R401" s="27" t="n"/>
      <c r="S401" s="28" t="n"/>
      <c r="T401" s="28" t="n"/>
      <c r="U401" s="28" t="n"/>
      <c r="V401" s="27" t="n"/>
    </row>
    <row r="402">
      <c r="A402" s="27" t="n"/>
      <c r="B402" s="28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>
        <f>IF(COUNTA(H402:L402)&gt;0,SUM(H402:L402),"")</f>
        <v/>
      </c>
      <c r="N402" s="29" t="n"/>
      <c r="O402" s="29" t="n"/>
      <c r="P402" s="29">
        <f>IF(N402="","",N402-O402)</f>
        <v/>
      </c>
      <c r="Q402" s="27" t="n"/>
      <c r="R402" s="27" t="n"/>
      <c r="S402" s="28" t="n"/>
      <c r="T402" s="28" t="n"/>
      <c r="U402" s="28" t="n"/>
      <c r="V402" s="27" t="n"/>
    </row>
    <row r="403">
      <c r="A403" s="27" t="n"/>
      <c r="B403" s="28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>
        <f>IF(COUNTA(H403:L403)&gt;0,SUM(H403:L403),"")</f>
        <v/>
      </c>
      <c r="N403" s="29" t="n"/>
      <c r="O403" s="29" t="n"/>
      <c r="P403" s="29">
        <f>IF(N403="","",N403-O403)</f>
        <v/>
      </c>
      <c r="Q403" s="27" t="n"/>
      <c r="R403" s="27" t="n"/>
      <c r="S403" s="28" t="n"/>
      <c r="T403" s="28" t="n"/>
      <c r="U403" s="28" t="n"/>
      <c r="V403" s="27" t="n"/>
    </row>
    <row r="404">
      <c r="A404" s="27" t="n"/>
      <c r="B404" s="28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>
        <f>IF(COUNTA(H404:L404)&gt;0,SUM(H404:L404),"")</f>
        <v/>
      </c>
      <c r="N404" s="29" t="n"/>
      <c r="O404" s="29" t="n"/>
      <c r="P404" s="29">
        <f>IF(N404="","",N404-O404)</f>
        <v/>
      </c>
      <c r="Q404" s="27" t="n"/>
      <c r="R404" s="27" t="n"/>
      <c r="S404" s="28" t="n"/>
      <c r="T404" s="28" t="n"/>
      <c r="U404" s="28" t="n"/>
      <c r="V404" s="27" t="n"/>
    </row>
    <row r="405">
      <c r="A405" s="27" t="n"/>
      <c r="B405" s="28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>
        <f>IF(COUNTA(H405:L405)&gt;0,SUM(H405:L405),"")</f>
        <v/>
      </c>
      <c r="N405" s="29" t="n"/>
      <c r="O405" s="29" t="n"/>
      <c r="P405" s="29">
        <f>IF(N405="","",N405-O405)</f>
        <v/>
      </c>
      <c r="Q405" s="27" t="n"/>
      <c r="R405" s="27" t="n"/>
      <c r="S405" s="28" t="n"/>
      <c r="T405" s="28" t="n"/>
      <c r="U405" s="28" t="n"/>
      <c r="V405" s="27" t="n"/>
    </row>
    <row r="406">
      <c r="A406" s="27" t="n"/>
      <c r="B406" s="28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>
        <f>IF(COUNTA(H406:L406)&gt;0,SUM(H406:L406),"")</f>
        <v/>
      </c>
      <c r="N406" s="29" t="n"/>
      <c r="O406" s="29" t="n"/>
      <c r="P406" s="29">
        <f>IF(N406="","",N406-O406)</f>
        <v/>
      </c>
      <c r="Q406" s="27" t="n"/>
      <c r="R406" s="27" t="n"/>
      <c r="S406" s="28" t="n"/>
      <c r="T406" s="28" t="n"/>
      <c r="U406" s="28" t="n"/>
      <c r="V406" s="27" t="n"/>
    </row>
    <row r="407">
      <c r="A407" s="27" t="n"/>
      <c r="B407" s="28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>
        <f>IF(COUNTA(H407:L407)&gt;0,SUM(H407:L407),"")</f>
        <v/>
      </c>
      <c r="N407" s="29" t="n"/>
      <c r="O407" s="29" t="n"/>
      <c r="P407" s="29">
        <f>IF(N407="","",N407-O407)</f>
        <v/>
      </c>
      <c r="Q407" s="27" t="n"/>
      <c r="R407" s="27" t="n"/>
      <c r="S407" s="28" t="n"/>
      <c r="T407" s="28" t="n"/>
      <c r="U407" s="28" t="n"/>
      <c r="V407" s="27" t="n"/>
    </row>
    <row r="408">
      <c r="A408" s="27" t="n"/>
      <c r="B408" s="28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>
        <f>IF(COUNTA(H408:L408)&gt;0,SUM(H408:L408),"")</f>
        <v/>
      </c>
      <c r="N408" s="29" t="n"/>
      <c r="O408" s="29" t="n"/>
      <c r="P408" s="29">
        <f>IF(N408="","",N408-O408)</f>
        <v/>
      </c>
      <c r="Q408" s="27" t="n"/>
      <c r="R408" s="27" t="n"/>
      <c r="S408" s="28" t="n"/>
      <c r="T408" s="28" t="n"/>
      <c r="U408" s="28" t="n"/>
      <c r="V408" s="27" t="n"/>
    </row>
    <row r="409">
      <c r="A409" s="27" t="n"/>
      <c r="B409" s="28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>
        <f>IF(COUNTA(H409:L409)&gt;0,SUM(H409:L409),"")</f>
        <v/>
      </c>
      <c r="N409" s="29" t="n"/>
      <c r="O409" s="29" t="n"/>
      <c r="P409" s="29">
        <f>IF(N409="","",N409-O409)</f>
        <v/>
      </c>
      <c r="Q409" s="27" t="n"/>
      <c r="R409" s="27" t="n"/>
      <c r="S409" s="28" t="n"/>
      <c r="T409" s="28" t="n"/>
      <c r="U409" s="28" t="n"/>
      <c r="V409" s="27" t="n"/>
    </row>
    <row r="410">
      <c r="A410" s="27" t="n"/>
      <c r="B410" s="28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>
        <f>IF(COUNTA(H410:L410)&gt;0,SUM(H410:L410),"")</f>
        <v/>
      </c>
      <c r="N410" s="29" t="n"/>
      <c r="O410" s="29" t="n"/>
      <c r="P410" s="29">
        <f>IF(N410="","",N410-O410)</f>
        <v/>
      </c>
      <c r="Q410" s="27" t="n"/>
      <c r="R410" s="27" t="n"/>
      <c r="S410" s="28" t="n"/>
      <c r="T410" s="28" t="n"/>
      <c r="U410" s="28" t="n"/>
      <c r="V410" s="27" t="n"/>
    </row>
    <row r="411">
      <c r="A411" s="27" t="n"/>
      <c r="B411" s="28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>
        <f>IF(COUNTA(H411:L411)&gt;0,SUM(H411:L411),"")</f>
        <v/>
      </c>
      <c r="N411" s="29" t="n"/>
      <c r="O411" s="29" t="n"/>
      <c r="P411" s="29">
        <f>IF(N411="","",N411-O411)</f>
        <v/>
      </c>
      <c r="Q411" s="27" t="n"/>
      <c r="R411" s="27" t="n"/>
      <c r="S411" s="28" t="n"/>
      <c r="T411" s="28" t="n"/>
      <c r="U411" s="28" t="n"/>
      <c r="V411" s="27" t="n"/>
    </row>
    <row r="412">
      <c r="A412" s="27" t="n"/>
      <c r="B412" s="28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>
        <f>IF(COUNTA(H412:L412)&gt;0,SUM(H412:L412),"")</f>
        <v/>
      </c>
      <c r="N412" s="29" t="n"/>
      <c r="O412" s="29" t="n"/>
      <c r="P412" s="29">
        <f>IF(N412="","",N412-O412)</f>
        <v/>
      </c>
      <c r="Q412" s="27" t="n"/>
      <c r="R412" s="27" t="n"/>
      <c r="S412" s="28" t="n"/>
      <c r="T412" s="28" t="n"/>
      <c r="U412" s="28" t="n"/>
      <c r="V412" s="27" t="n"/>
    </row>
    <row r="413">
      <c r="A413" s="27" t="n"/>
      <c r="B413" s="28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>
        <f>IF(COUNTA(H413:L413)&gt;0,SUM(H413:L413),"")</f>
        <v/>
      </c>
      <c r="N413" s="29" t="n"/>
      <c r="O413" s="29" t="n"/>
      <c r="P413" s="29">
        <f>IF(N413="","",N413-O413)</f>
        <v/>
      </c>
      <c r="Q413" s="27" t="n"/>
      <c r="R413" s="27" t="n"/>
      <c r="S413" s="28" t="n"/>
      <c r="T413" s="28" t="n"/>
      <c r="U413" s="28" t="n"/>
      <c r="V413" s="27" t="n"/>
    </row>
    <row r="414">
      <c r="A414" s="27" t="n"/>
      <c r="B414" s="28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>
        <f>IF(COUNTA(H414:L414)&gt;0,SUM(H414:L414),"")</f>
        <v/>
      </c>
      <c r="N414" s="29" t="n"/>
      <c r="O414" s="29" t="n"/>
      <c r="P414" s="29">
        <f>IF(N414="","",N414-O414)</f>
        <v/>
      </c>
      <c r="Q414" s="27" t="n"/>
      <c r="R414" s="27" t="n"/>
      <c r="S414" s="28" t="n"/>
      <c r="T414" s="28" t="n"/>
      <c r="U414" s="28" t="n"/>
      <c r="V414" s="27" t="n"/>
    </row>
    <row r="415">
      <c r="A415" s="27" t="n"/>
      <c r="B415" s="28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>
        <f>IF(COUNTA(H415:L415)&gt;0,SUM(H415:L415),"")</f>
        <v/>
      </c>
      <c r="N415" s="29" t="n"/>
      <c r="O415" s="29" t="n"/>
      <c r="P415" s="29">
        <f>IF(N415="","",N415-O415)</f>
        <v/>
      </c>
      <c r="Q415" s="27" t="n"/>
      <c r="R415" s="27" t="n"/>
      <c r="S415" s="28" t="n"/>
      <c r="T415" s="28" t="n"/>
      <c r="U415" s="28" t="n"/>
      <c r="V415" s="27" t="n"/>
    </row>
    <row r="416">
      <c r="A416" s="27" t="n"/>
      <c r="B416" s="28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>
        <f>IF(COUNTA(H416:L416)&gt;0,SUM(H416:L416),"")</f>
        <v/>
      </c>
      <c r="N416" s="29" t="n"/>
      <c r="O416" s="29" t="n"/>
      <c r="P416" s="29">
        <f>IF(N416="","",N416-O416)</f>
        <v/>
      </c>
      <c r="Q416" s="27" t="n"/>
      <c r="R416" s="27" t="n"/>
      <c r="S416" s="28" t="n"/>
      <c r="T416" s="28" t="n"/>
      <c r="U416" s="28" t="n"/>
      <c r="V416" s="27" t="n"/>
    </row>
    <row r="417">
      <c r="A417" s="27" t="n"/>
      <c r="B417" s="28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>
        <f>IF(COUNTA(H417:L417)&gt;0,SUM(H417:L417),"")</f>
        <v/>
      </c>
      <c r="N417" s="29" t="n"/>
      <c r="O417" s="29" t="n"/>
      <c r="P417" s="29">
        <f>IF(N417="","",N417-O417)</f>
        <v/>
      </c>
      <c r="Q417" s="27" t="n"/>
      <c r="R417" s="27" t="n"/>
      <c r="S417" s="28" t="n"/>
      <c r="T417" s="28" t="n"/>
      <c r="U417" s="28" t="n"/>
      <c r="V417" s="27" t="n"/>
    </row>
    <row r="418">
      <c r="A418" s="27" t="n"/>
      <c r="B418" s="28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>
        <f>IF(COUNTA(H418:L418)&gt;0,SUM(H418:L418),"")</f>
        <v/>
      </c>
      <c r="N418" s="29" t="n"/>
      <c r="O418" s="29" t="n"/>
      <c r="P418" s="29">
        <f>IF(N418="","",N418-O418)</f>
        <v/>
      </c>
      <c r="Q418" s="27" t="n"/>
      <c r="R418" s="27" t="n"/>
      <c r="S418" s="28" t="n"/>
      <c r="T418" s="28" t="n"/>
      <c r="U418" s="28" t="n"/>
      <c r="V418" s="27" t="n"/>
    </row>
    <row r="419">
      <c r="A419" s="27" t="n"/>
      <c r="B419" s="28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>
        <f>IF(COUNTA(H419:L419)&gt;0,SUM(H419:L419),"")</f>
        <v/>
      </c>
      <c r="N419" s="29" t="n"/>
      <c r="O419" s="29" t="n"/>
      <c r="P419" s="29">
        <f>IF(N419="","",N419-O419)</f>
        <v/>
      </c>
      <c r="Q419" s="27" t="n"/>
      <c r="R419" s="27" t="n"/>
      <c r="S419" s="28" t="n"/>
      <c r="T419" s="28" t="n"/>
      <c r="U419" s="28" t="n"/>
      <c r="V419" s="27" t="n"/>
    </row>
    <row r="420">
      <c r="A420" s="27" t="n"/>
      <c r="B420" s="28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>
        <f>IF(COUNTA(H420:L420)&gt;0,SUM(H420:L420),"")</f>
        <v/>
      </c>
      <c r="N420" s="29" t="n"/>
      <c r="O420" s="29" t="n"/>
      <c r="P420" s="29">
        <f>IF(N420="","",N420-O420)</f>
        <v/>
      </c>
      <c r="Q420" s="27" t="n"/>
      <c r="R420" s="27" t="n"/>
      <c r="S420" s="28" t="n"/>
      <c r="T420" s="28" t="n"/>
      <c r="U420" s="28" t="n"/>
      <c r="V420" s="27" t="n"/>
    </row>
    <row r="421">
      <c r="A421" s="27" t="n"/>
      <c r="B421" s="28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>
        <f>IF(COUNTA(H421:L421)&gt;0,SUM(H421:L421),"")</f>
        <v/>
      </c>
      <c r="N421" s="29" t="n"/>
      <c r="O421" s="29" t="n"/>
      <c r="P421" s="29">
        <f>IF(N421="","",N421-O421)</f>
        <v/>
      </c>
      <c r="Q421" s="27" t="n"/>
      <c r="R421" s="27" t="n"/>
      <c r="S421" s="28" t="n"/>
      <c r="T421" s="28" t="n"/>
      <c r="U421" s="28" t="n"/>
      <c r="V421" s="27" t="n"/>
    </row>
    <row r="422">
      <c r="A422" s="27" t="n"/>
      <c r="B422" s="28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>
        <f>IF(COUNTA(H422:L422)&gt;0,SUM(H422:L422),"")</f>
        <v/>
      </c>
      <c r="N422" s="29" t="n"/>
      <c r="O422" s="29" t="n"/>
      <c r="P422" s="29">
        <f>IF(N422="","",N422-O422)</f>
        <v/>
      </c>
      <c r="Q422" s="27" t="n"/>
      <c r="R422" s="27" t="n"/>
      <c r="S422" s="28" t="n"/>
      <c r="T422" s="28" t="n"/>
      <c r="U422" s="28" t="n"/>
      <c r="V422" s="27" t="n"/>
    </row>
    <row r="423">
      <c r="A423" s="27" t="n"/>
      <c r="B423" s="28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>
        <f>IF(COUNTA(H423:L423)&gt;0,SUM(H423:L423),"")</f>
        <v/>
      </c>
      <c r="N423" s="29" t="n"/>
      <c r="O423" s="29" t="n"/>
      <c r="P423" s="29">
        <f>IF(N423="","",N423-O423)</f>
        <v/>
      </c>
      <c r="Q423" s="27" t="n"/>
      <c r="R423" s="27" t="n"/>
      <c r="S423" s="28" t="n"/>
      <c r="T423" s="28" t="n"/>
      <c r="U423" s="28" t="n"/>
      <c r="V423" s="27" t="n"/>
    </row>
    <row r="424">
      <c r="A424" s="27" t="n"/>
      <c r="B424" s="28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>
        <f>IF(COUNTA(H424:L424)&gt;0,SUM(H424:L424),"")</f>
        <v/>
      </c>
      <c r="N424" s="29" t="n"/>
      <c r="O424" s="29" t="n"/>
      <c r="P424" s="29">
        <f>IF(N424="","",N424-O424)</f>
        <v/>
      </c>
      <c r="Q424" s="27" t="n"/>
      <c r="R424" s="27" t="n"/>
      <c r="S424" s="28" t="n"/>
      <c r="T424" s="28" t="n"/>
      <c r="U424" s="28" t="n"/>
      <c r="V424" s="27" t="n"/>
    </row>
    <row r="425">
      <c r="A425" s="27" t="n"/>
      <c r="B425" s="28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>
        <f>IF(COUNTA(H425:L425)&gt;0,SUM(H425:L425),"")</f>
        <v/>
      </c>
      <c r="N425" s="29" t="n"/>
      <c r="O425" s="29" t="n"/>
      <c r="P425" s="29">
        <f>IF(N425="","",N425-O425)</f>
        <v/>
      </c>
      <c r="Q425" s="27" t="n"/>
      <c r="R425" s="27" t="n"/>
      <c r="S425" s="28" t="n"/>
      <c r="T425" s="28" t="n"/>
      <c r="U425" s="28" t="n"/>
      <c r="V425" s="27" t="n"/>
    </row>
    <row r="426">
      <c r="A426" s="27" t="n"/>
      <c r="B426" s="28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>
        <f>IF(COUNTA(H426:L426)&gt;0,SUM(H426:L426),"")</f>
        <v/>
      </c>
      <c r="N426" s="29" t="n"/>
      <c r="O426" s="29" t="n"/>
      <c r="P426" s="29">
        <f>IF(N426="","",N426-O426)</f>
        <v/>
      </c>
      <c r="Q426" s="27" t="n"/>
      <c r="R426" s="27" t="n"/>
      <c r="S426" s="28" t="n"/>
      <c r="T426" s="28" t="n"/>
      <c r="U426" s="28" t="n"/>
      <c r="V426" s="27" t="n"/>
    </row>
    <row r="427">
      <c r="A427" s="27" t="n"/>
      <c r="B427" s="28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>
        <f>IF(COUNTA(H427:L427)&gt;0,SUM(H427:L427),"")</f>
        <v/>
      </c>
      <c r="N427" s="29" t="n"/>
      <c r="O427" s="29" t="n"/>
      <c r="P427" s="29">
        <f>IF(N427="","",N427-O427)</f>
        <v/>
      </c>
      <c r="Q427" s="27" t="n"/>
      <c r="R427" s="27" t="n"/>
      <c r="S427" s="28" t="n"/>
      <c r="T427" s="28" t="n"/>
      <c r="U427" s="28" t="n"/>
      <c r="V427" s="27" t="n"/>
    </row>
    <row r="428">
      <c r="A428" s="27" t="n"/>
      <c r="B428" s="28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>
        <f>IF(COUNTA(H428:L428)&gt;0,SUM(H428:L428),"")</f>
        <v/>
      </c>
      <c r="N428" s="29" t="n"/>
      <c r="O428" s="29" t="n"/>
      <c r="P428" s="29">
        <f>IF(N428="","",N428-O428)</f>
        <v/>
      </c>
      <c r="Q428" s="27" t="n"/>
      <c r="R428" s="27" t="n"/>
      <c r="S428" s="28" t="n"/>
      <c r="T428" s="28" t="n"/>
      <c r="U428" s="28" t="n"/>
      <c r="V428" s="27" t="n"/>
    </row>
    <row r="429">
      <c r="A429" s="27" t="n"/>
      <c r="B429" s="28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>
        <f>IF(COUNTA(H429:L429)&gt;0,SUM(H429:L429),"")</f>
        <v/>
      </c>
      <c r="N429" s="29" t="n"/>
      <c r="O429" s="29" t="n"/>
      <c r="P429" s="29">
        <f>IF(N429="","",N429-O429)</f>
        <v/>
      </c>
      <c r="Q429" s="27" t="n"/>
      <c r="R429" s="27" t="n"/>
      <c r="S429" s="28" t="n"/>
      <c r="T429" s="28" t="n"/>
      <c r="U429" s="28" t="n"/>
      <c r="V429" s="27" t="n"/>
    </row>
    <row r="430">
      <c r="A430" s="27" t="n"/>
      <c r="B430" s="28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>
        <f>IF(COUNTA(H430:L430)&gt;0,SUM(H430:L430),"")</f>
        <v/>
      </c>
      <c r="N430" s="29" t="n"/>
      <c r="O430" s="29" t="n"/>
      <c r="P430" s="29">
        <f>IF(N430="","",N430-O430)</f>
        <v/>
      </c>
      <c r="Q430" s="27" t="n"/>
      <c r="R430" s="27" t="n"/>
      <c r="S430" s="28" t="n"/>
      <c r="T430" s="28" t="n"/>
      <c r="U430" s="28" t="n"/>
      <c r="V430" s="27" t="n"/>
    </row>
    <row r="431">
      <c r="A431" s="27" t="n"/>
      <c r="B431" s="28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>
        <f>IF(COUNTA(H431:L431)&gt;0,SUM(H431:L431),"")</f>
        <v/>
      </c>
      <c r="N431" s="29" t="n"/>
      <c r="O431" s="29" t="n"/>
      <c r="P431" s="29">
        <f>IF(N431="","",N431-O431)</f>
        <v/>
      </c>
      <c r="Q431" s="27" t="n"/>
      <c r="R431" s="27" t="n"/>
      <c r="S431" s="28" t="n"/>
      <c r="T431" s="28" t="n"/>
      <c r="U431" s="28" t="n"/>
      <c r="V431" s="27" t="n"/>
    </row>
    <row r="432">
      <c r="A432" s="27" t="n"/>
      <c r="B432" s="28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>
        <f>IF(COUNTA(H432:L432)&gt;0,SUM(H432:L432),"")</f>
        <v/>
      </c>
      <c r="N432" s="29" t="n"/>
      <c r="O432" s="29" t="n"/>
      <c r="P432" s="29">
        <f>IF(N432="","",N432-O432)</f>
        <v/>
      </c>
      <c r="Q432" s="27" t="n"/>
      <c r="R432" s="27" t="n"/>
      <c r="S432" s="28" t="n"/>
      <c r="T432" s="28" t="n"/>
      <c r="U432" s="28" t="n"/>
      <c r="V432" s="27" t="n"/>
    </row>
    <row r="433">
      <c r="A433" s="27" t="n"/>
      <c r="B433" s="28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>
        <f>IF(COUNTA(H433:L433)&gt;0,SUM(H433:L433),"")</f>
        <v/>
      </c>
      <c r="N433" s="29" t="n"/>
      <c r="O433" s="29" t="n"/>
      <c r="P433" s="29">
        <f>IF(N433="","",N433-O433)</f>
        <v/>
      </c>
      <c r="Q433" s="27" t="n"/>
      <c r="R433" s="27" t="n"/>
      <c r="S433" s="28" t="n"/>
      <c r="T433" s="28" t="n"/>
      <c r="U433" s="28" t="n"/>
      <c r="V433" s="27" t="n"/>
    </row>
    <row r="434">
      <c r="A434" s="27" t="n"/>
      <c r="B434" s="28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>
        <f>IF(COUNTA(H434:L434)&gt;0,SUM(H434:L434),"")</f>
        <v/>
      </c>
      <c r="N434" s="29" t="n"/>
      <c r="O434" s="29" t="n"/>
      <c r="P434" s="29">
        <f>IF(N434="","",N434-O434)</f>
        <v/>
      </c>
      <c r="Q434" s="27" t="n"/>
      <c r="R434" s="27" t="n"/>
      <c r="S434" s="28" t="n"/>
      <c r="T434" s="28" t="n"/>
      <c r="U434" s="28" t="n"/>
      <c r="V434" s="27" t="n"/>
    </row>
    <row r="435">
      <c r="A435" s="27" t="n"/>
      <c r="B435" s="28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>
        <f>IF(COUNTA(H435:L435)&gt;0,SUM(H435:L435),"")</f>
        <v/>
      </c>
      <c r="N435" s="29" t="n"/>
      <c r="O435" s="29" t="n"/>
      <c r="P435" s="29">
        <f>IF(N435="","",N435-O435)</f>
        <v/>
      </c>
      <c r="Q435" s="27" t="n"/>
      <c r="R435" s="27" t="n"/>
      <c r="S435" s="28" t="n"/>
      <c r="T435" s="28" t="n"/>
      <c r="U435" s="28" t="n"/>
      <c r="V435" s="27" t="n"/>
    </row>
    <row r="436">
      <c r="A436" s="27" t="n"/>
      <c r="B436" s="28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>
        <f>IF(COUNTA(H436:L436)&gt;0,SUM(H436:L436),"")</f>
        <v/>
      </c>
      <c r="N436" s="29" t="n"/>
      <c r="O436" s="29" t="n"/>
      <c r="P436" s="29">
        <f>IF(N436="","",N436-O436)</f>
        <v/>
      </c>
      <c r="Q436" s="27" t="n"/>
      <c r="R436" s="27" t="n"/>
      <c r="S436" s="28" t="n"/>
      <c r="T436" s="28" t="n"/>
      <c r="U436" s="28" t="n"/>
      <c r="V436" s="27" t="n"/>
    </row>
    <row r="437">
      <c r="A437" s="27" t="n"/>
      <c r="B437" s="28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>
        <f>IF(COUNTA(H437:L437)&gt;0,SUM(H437:L437),"")</f>
        <v/>
      </c>
      <c r="N437" s="29" t="n"/>
      <c r="O437" s="29" t="n"/>
      <c r="P437" s="29">
        <f>IF(N437="","",N437-O437)</f>
        <v/>
      </c>
      <c r="Q437" s="27" t="n"/>
      <c r="R437" s="27" t="n"/>
      <c r="S437" s="28" t="n"/>
      <c r="T437" s="28" t="n"/>
      <c r="U437" s="28" t="n"/>
      <c r="V437" s="27" t="n"/>
    </row>
    <row r="438">
      <c r="A438" s="27" t="n"/>
      <c r="B438" s="28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>
        <f>IF(COUNTA(H438:L438)&gt;0,SUM(H438:L438),"")</f>
        <v/>
      </c>
      <c r="N438" s="29" t="n"/>
      <c r="O438" s="29" t="n"/>
      <c r="P438" s="29">
        <f>IF(N438="","",N438-O438)</f>
        <v/>
      </c>
      <c r="Q438" s="27" t="n"/>
      <c r="R438" s="27" t="n"/>
      <c r="S438" s="28" t="n"/>
      <c r="T438" s="28" t="n"/>
      <c r="U438" s="28" t="n"/>
      <c r="V438" s="27" t="n"/>
    </row>
    <row r="439">
      <c r="A439" s="27" t="n"/>
      <c r="B439" s="28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>
        <f>IF(COUNTA(H439:L439)&gt;0,SUM(H439:L439),"")</f>
        <v/>
      </c>
      <c r="N439" s="29" t="n"/>
      <c r="O439" s="29" t="n"/>
      <c r="P439" s="29">
        <f>IF(N439="","",N439-O439)</f>
        <v/>
      </c>
      <c r="Q439" s="27" t="n"/>
      <c r="R439" s="27" t="n"/>
      <c r="S439" s="28" t="n"/>
      <c r="T439" s="28" t="n"/>
      <c r="U439" s="28" t="n"/>
      <c r="V439" s="27" t="n"/>
    </row>
    <row r="440">
      <c r="A440" s="27" t="n"/>
      <c r="B440" s="28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>
        <f>IF(COUNTA(H440:L440)&gt;0,SUM(H440:L440),"")</f>
        <v/>
      </c>
      <c r="N440" s="29" t="n"/>
      <c r="O440" s="29" t="n"/>
      <c r="P440" s="29">
        <f>IF(N440="","",N440-O440)</f>
        <v/>
      </c>
      <c r="Q440" s="27" t="n"/>
      <c r="R440" s="27" t="n"/>
      <c r="S440" s="28" t="n"/>
      <c r="T440" s="28" t="n"/>
      <c r="U440" s="28" t="n"/>
      <c r="V440" s="27" t="n"/>
    </row>
    <row r="441">
      <c r="A441" s="27" t="n"/>
      <c r="B441" s="28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>
        <f>IF(COUNTA(H441:L441)&gt;0,SUM(H441:L441),"")</f>
        <v/>
      </c>
      <c r="N441" s="29" t="n"/>
      <c r="O441" s="29" t="n"/>
      <c r="P441" s="29">
        <f>IF(N441="","",N441-O441)</f>
        <v/>
      </c>
      <c r="Q441" s="27" t="n"/>
      <c r="R441" s="27" t="n"/>
      <c r="S441" s="28" t="n"/>
      <c r="T441" s="28" t="n"/>
      <c r="U441" s="28" t="n"/>
      <c r="V441" s="27" t="n"/>
    </row>
    <row r="442">
      <c r="A442" s="27" t="n"/>
      <c r="B442" s="28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>
        <f>IF(COUNTA(H442:L442)&gt;0,SUM(H442:L442),"")</f>
        <v/>
      </c>
      <c r="N442" s="29" t="n"/>
      <c r="O442" s="29" t="n"/>
      <c r="P442" s="29">
        <f>IF(N442="","",N442-O442)</f>
        <v/>
      </c>
      <c r="Q442" s="27" t="n"/>
      <c r="R442" s="27" t="n"/>
      <c r="S442" s="28" t="n"/>
      <c r="T442" s="28" t="n"/>
      <c r="U442" s="28" t="n"/>
      <c r="V442" s="27" t="n"/>
    </row>
    <row r="443">
      <c r="A443" s="27" t="n"/>
      <c r="B443" s="28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>
        <f>IF(COUNTA(H443:L443)&gt;0,SUM(H443:L443),"")</f>
        <v/>
      </c>
      <c r="N443" s="29" t="n"/>
      <c r="O443" s="29" t="n"/>
      <c r="P443" s="29">
        <f>IF(N443="","",N443-O443)</f>
        <v/>
      </c>
      <c r="Q443" s="27" t="n"/>
      <c r="R443" s="27" t="n"/>
      <c r="S443" s="28" t="n"/>
      <c r="T443" s="28" t="n"/>
      <c r="U443" s="28" t="n"/>
      <c r="V443" s="27" t="n"/>
    </row>
    <row r="444">
      <c r="A444" s="27" t="n"/>
      <c r="B444" s="28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>
        <f>IF(COUNTA(H444:L444)&gt;0,SUM(H444:L444),"")</f>
        <v/>
      </c>
      <c r="N444" s="29" t="n"/>
      <c r="O444" s="29" t="n"/>
      <c r="P444" s="29">
        <f>IF(N444="","",N444-O444)</f>
        <v/>
      </c>
      <c r="Q444" s="27" t="n"/>
      <c r="R444" s="27" t="n"/>
      <c r="S444" s="28" t="n"/>
      <c r="T444" s="28" t="n"/>
      <c r="U444" s="28" t="n"/>
      <c r="V444" s="27" t="n"/>
    </row>
    <row r="445">
      <c r="A445" s="27" t="n"/>
      <c r="B445" s="28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>
        <f>IF(COUNTA(H445:L445)&gt;0,SUM(H445:L445),"")</f>
        <v/>
      </c>
      <c r="N445" s="29" t="n"/>
      <c r="O445" s="29" t="n"/>
      <c r="P445" s="29">
        <f>IF(N445="","",N445-O445)</f>
        <v/>
      </c>
      <c r="Q445" s="27" t="n"/>
      <c r="R445" s="27" t="n"/>
      <c r="S445" s="28" t="n"/>
      <c r="T445" s="28" t="n"/>
      <c r="U445" s="28" t="n"/>
      <c r="V445" s="27" t="n"/>
    </row>
    <row r="446">
      <c r="A446" s="27" t="n"/>
      <c r="B446" s="28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>
        <f>IF(COUNTA(H446:L446)&gt;0,SUM(H446:L446),"")</f>
        <v/>
      </c>
      <c r="N446" s="29" t="n"/>
      <c r="O446" s="29" t="n"/>
      <c r="P446" s="29">
        <f>IF(N446="","",N446-O446)</f>
        <v/>
      </c>
      <c r="Q446" s="27" t="n"/>
      <c r="R446" s="27" t="n"/>
      <c r="S446" s="28" t="n"/>
      <c r="T446" s="28" t="n"/>
      <c r="U446" s="28" t="n"/>
      <c r="V446" s="27" t="n"/>
    </row>
    <row r="447">
      <c r="A447" s="27" t="n"/>
      <c r="B447" s="28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>
        <f>IF(COUNTA(H447:L447)&gt;0,SUM(H447:L447),"")</f>
        <v/>
      </c>
      <c r="N447" s="29" t="n"/>
      <c r="O447" s="29" t="n"/>
      <c r="P447" s="29">
        <f>IF(N447="","",N447-O447)</f>
        <v/>
      </c>
      <c r="Q447" s="27" t="n"/>
      <c r="R447" s="27" t="n"/>
      <c r="S447" s="28" t="n"/>
      <c r="T447" s="28" t="n"/>
      <c r="U447" s="28" t="n"/>
      <c r="V447" s="27" t="n"/>
    </row>
    <row r="448">
      <c r="A448" s="27" t="n"/>
      <c r="B448" s="28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>
        <f>IF(COUNTA(H448:L448)&gt;0,SUM(H448:L448),"")</f>
        <v/>
      </c>
      <c r="N448" s="29" t="n"/>
      <c r="O448" s="29" t="n"/>
      <c r="P448" s="29">
        <f>IF(N448="","",N448-O448)</f>
        <v/>
      </c>
      <c r="Q448" s="27" t="n"/>
      <c r="R448" s="27" t="n"/>
      <c r="S448" s="28" t="n"/>
      <c r="T448" s="28" t="n"/>
      <c r="U448" s="28" t="n"/>
      <c r="V448" s="27" t="n"/>
    </row>
    <row r="449">
      <c r="A449" s="27" t="n"/>
      <c r="B449" s="28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>
        <f>IF(COUNTA(H449:L449)&gt;0,SUM(H449:L449),"")</f>
        <v/>
      </c>
      <c r="N449" s="29" t="n"/>
      <c r="O449" s="29" t="n"/>
      <c r="P449" s="29">
        <f>IF(N449="","",N449-O449)</f>
        <v/>
      </c>
      <c r="Q449" s="27" t="n"/>
      <c r="R449" s="27" t="n"/>
      <c r="S449" s="28" t="n"/>
      <c r="T449" s="28" t="n"/>
      <c r="U449" s="28" t="n"/>
      <c r="V449" s="27" t="n"/>
    </row>
    <row r="450">
      <c r="A450" s="27" t="n"/>
      <c r="B450" s="28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>
        <f>IF(COUNTA(H450:L450)&gt;0,SUM(H450:L450),"")</f>
        <v/>
      </c>
      <c r="N450" s="29" t="n"/>
      <c r="O450" s="29" t="n"/>
      <c r="P450" s="29">
        <f>IF(N450="","",N450-O450)</f>
        <v/>
      </c>
      <c r="Q450" s="27" t="n"/>
      <c r="R450" s="27" t="n"/>
      <c r="S450" s="28" t="n"/>
      <c r="T450" s="28" t="n"/>
      <c r="U450" s="28" t="n"/>
      <c r="V450" s="27" t="n"/>
    </row>
    <row r="451">
      <c r="A451" s="27" t="n"/>
      <c r="B451" s="28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>
        <f>IF(COUNTA(H451:L451)&gt;0,SUM(H451:L451),"")</f>
        <v/>
      </c>
      <c r="N451" s="29" t="n"/>
      <c r="O451" s="29" t="n"/>
      <c r="P451" s="29">
        <f>IF(N451="","",N451-O451)</f>
        <v/>
      </c>
      <c r="Q451" s="27" t="n"/>
      <c r="R451" s="27" t="n"/>
      <c r="S451" s="28" t="n"/>
      <c r="T451" s="28" t="n"/>
      <c r="U451" s="28" t="n"/>
      <c r="V451" s="27" t="n"/>
    </row>
    <row r="452">
      <c r="A452" s="27" t="n"/>
      <c r="B452" s="28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>
        <f>IF(COUNTA(H452:L452)&gt;0,SUM(H452:L452),"")</f>
        <v/>
      </c>
      <c r="N452" s="29" t="n"/>
      <c r="O452" s="29" t="n"/>
      <c r="P452" s="29">
        <f>IF(N452="","",N452-O452)</f>
        <v/>
      </c>
      <c r="Q452" s="27" t="n"/>
      <c r="R452" s="27" t="n"/>
      <c r="S452" s="28" t="n"/>
      <c r="T452" s="28" t="n"/>
      <c r="U452" s="28" t="n"/>
      <c r="V452" s="27" t="n"/>
    </row>
    <row r="453">
      <c r="A453" s="27" t="n"/>
      <c r="B453" s="28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>
        <f>IF(COUNTA(H453:L453)&gt;0,SUM(H453:L453),"")</f>
        <v/>
      </c>
      <c r="N453" s="29" t="n"/>
      <c r="O453" s="29" t="n"/>
      <c r="P453" s="29">
        <f>IF(N453="","",N453-O453)</f>
        <v/>
      </c>
      <c r="Q453" s="27" t="n"/>
      <c r="R453" s="27" t="n"/>
      <c r="S453" s="28" t="n"/>
      <c r="T453" s="28" t="n"/>
      <c r="U453" s="28" t="n"/>
      <c r="V453" s="27" t="n"/>
    </row>
    <row r="454">
      <c r="A454" s="27" t="n"/>
      <c r="B454" s="28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>
        <f>IF(COUNTA(H454:L454)&gt;0,SUM(H454:L454),"")</f>
        <v/>
      </c>
      <c r="N454" s="29" t="n"/>
      <c r="O454" s="29" t="n"/>
      <c r="P454" s="29">
        <f>IF(N454="","",N454-O454)</f>
        <v/>
      </c>
      <c r="Q454" s="27" t="n"/>
      <c r="R454" s="27" t="n"/>
      <c r="S454" s="28" t="n"/>
      <c r="T454" s="28" t="n"/>
      <c r="U454" s="28" t="n"/>
      <c r="V454" s="27" t="n"/>
    </row>
    <row r="455">
      <c r="A455" s="27" t="n"/>
      <c r="B455" s="28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>
        <f>IF(COUNTA(H455:L455)&gt;0,SUM(H455:L455),"")</f>
        <v/>
      </c>
      <c r="N455" s="29" t="n"/>
      <c r="O455" s="29" t="n"/>
      <c r="P455" s="29">
        <f>IF(N455="","",N455-O455)</f>
        <v/>
      </c>
      <c r="Q455" s="27" t="n"/>
      <c r="R455" s="27" t="n"/>
      <c r="S455" s="28" t="n"/>
      <c r="T455" s="28" t="n"/>
      <c r="U455" s="28" t="n"/>
      <c r="V455" s="27" t="n"/>
    </row>
    <row r="456">
      <c r="A456" s="27" t="n"/>
      <c r="B456" s="28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>
        <f>IF(COUNTA(H456:L456)&gt;0,SUM(H456:L456),"")</f>
        <v/>
      </c>
      <c r="N456" s="29" t="n"/>
      <c r="O456" s="29" t="n"/>
      <c r="P456" s="29">
        <f>IF(N456="","",N456-O456)</f>
        <v/>
      </c>
      <c r="Q456" s="27" t="n"/>
      <c r="R456" s="27" t="n"/>
      <c r="S456" s="28" t="n"/>
      <c r="T456" s="28" t="n"/>
      <c r="U456" s="28" t="n"/>
      <c r="V456" s="27" t="n"/>
    </row>
    <row r="457">
      <c r="A457" s="27" t="n"/>
      <c r="B457" s="28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>
        <f>IF(COUNTA(H457:L457)&gt;0,SUM(H457:L457),"")</f>
        <v/>
      </c>
      <c r="N457" s="29" t="n"/>
      <c r="O457" s="29" t="n"/>
      <c r="P457" s="29">
        <f>IF(N457="","",N457-O457)</f>
        <v/>
      </c>
      <c r="Q457" s="27" t="n"/>
      <c r="R457" s="27" t="n"/>
      <c r="S457" s="28" t="n"/>
      <c r="T457" s="28" t="n"/>
      <c r="U457" s="28" t="n"/>
      <c r="V457" s="27" t="n"/>
    </row>
    <row r="458">
      <c r="A458" s="27" t="n"/>
      <c r="B458" s="28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>
        <f>IF(COUNTA(H458:L458)&gt;0,SUM(H458:L458),"")</f>
        <v/>
      </c>
      <c r="N458" s="29" t="n"/>
      <c r="O458" s="29" t="n"/>
      <c r="P458" s="29">
        <f>IF(N458="","",N458-O458)</f>
        <v/>
      </c>
      <c r="Q458" s="27" t="n"/>
      <c r="R458" s="27" t="n"/>
      <c r="S458" s="28" t="n"/>
      <c r="T458" s="28" t="n"/>
      <c r="U458" s="28" t="n"/>
      <c r="V458" s="27" t="n"/>
    </row>
    <row r="459">
      <c r="A459" s="27" t="n"/>
      <c r="B459" s="28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>
        <f>IF(COUNTA(H459:L459)&gt;0,SUM(H459:L459),"")</f>
        <v/>
      </c>
      <c r="N459" s="29" t="n"/>
      <c r="O459" s="29" t="n"/>
      <c r="P459" s="29">
        <f>IF(N459="","",N459-O459)</f>
        <v/>
      </c>
      <c r="Q459" s="27" t="n"/>
      <c r="R459" s="27" t="n"/>
      <c r="S459" s="28" t="n"/>
      <c r="T459" s="28" t="n"/>
      <c r="U459" s="28" t="n"/>
      <c r="V459" s="27" t="n"/>
    </row>
    <row r="460">
      <c r="A460" s="27" t="n"/>
      <c r="B460" s="28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>
        <f>IF(COUNTA(H460:L460)&gt;0,SUM(H460:L460),"")</f>
        <v/>
      </c>
      <c r="N460" s="29" t="n"/>
      <c r="O460" s="29" t="n"/>
      <c r="P460" s="29">
        <f>IF(N460="","",N460-O460)</f>
        <v/>
      </c>
      <c r="Q460" s="27" t="n"/>
      <c r="R460" s="27" t="n"/>
      <c r="S460" s="28" t="n"/>
      <c r="T460" s="28" t="n"/>
      <c r="U460" s="28" t="n"/>
      <c r="V460" s="27" t="n"/>
    </row>
    <row r="461">
      <c r="A461" s="27" t="n"/>
      <c r="B461" s="28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>
        <f>IF(COUNTA(H461:L461)&gt;0,SUM(H461:L461),"")</f>
        <v/>
      </c>
      <c r="N461" s="29" t="n"/>
      <c r="O461" s="29" t="n"/>
      <c r="P461" s="29">
        <f>IF(N461="","",N461-O461)</f>
        <v/>
      </c>
      <c r="Q461" s="27" t="n"/>
      <c r="R461" s="27" t="n"/>
      <c r="S461" s="28" t="n"/>
      <c r="T461" s="28" t="n"/>
      <c r="U461" s="28" t="n"/>
      <c r="V461" s="27" t="n"/>
    </row>
    <row r="462">
      <c r="A462" s="27" t="n"/>
      <c r="B462" s="28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>
        <f>IF(COUNTA(H462:L462)&gt;0,SUM(H462:L462),"")</f>
        <v/>
      </c>
      <c r="N462" s="29" t="n"/>
      <c r="O462" s="29" t="n"/>
      <c r="P462" s="29">
        <f>IF(N462="","",N462-O462)</f>
        <v/>
      </c>
      <c r="Q462" s="27" t="n"/>
      <c r="R462" s="27" t="n"/>
      <c r="S462" s="28" t="n"/>
      <c r="T462" s="28" t="n"/>
      <c r="U462" s="28" t="n"/>
      <c r="V462" s="27" t="n"/>
    </row>
    <row r="463">
      <c r="A463" s="27" t="n"/>
      <c r="B463" s="28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>
        <f>IF(COUNTA(H463:L463)&gt;0,SUM(H463:L463),"")</f>
        <v/>
      </c>
      <c r="N463" s="29" t="n"/>
      <c r="O463" s="29" t="n"/>
      <c r="P463" s="29">
        <f>IF(N463="","",N463-O463)</f>
        <v/>
      </c>
      <c r="Q463" s="27" t="n"/>
      <c r="R463" s="27" t="n"/>
      <c r="S463" s="28" t="n"/>
      <c r="T463" s="28" t="n"/>
      <c r="U463" s="28" t="n"/>
      <c r="V463" s="27" t="n"/>
    </row>
    <row r="464">
      <c r="A464" s="27" t="n"/>
      <c r="B464" s="28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>
        <f>IF(COUNTA(H464:L464)&gt;0,SUM(H464:L464),"")</f>
        <v/>
      </c>
      <c r="N464" s="29" t="n"/>
      <c r="O464" s="29" t="n"/>
      <c r="P464" s="29">
        <f>IF(N464="","",N464-O464)</f>
        <v/>
      </c>
      <c r="Q464" s="27" t="n"/>
      <c r="R464" s="27" t="n"/>
      <c r="S464" s="28" t="n"/>
      <c r="T464" s="28" t="n"/>
      <c r="U464" s="28" t="n"/>
      <c r="V464" s="27" t="n"/>
    </row>
    <row r="465">
      <c r="A465" s="27" t="n"/>
      <c r="B465" s="28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>
        <f>IF(COUNTA(H465:L465)&gt;0,SUM(H465:L465),"")</f>
        <v/>
      </c>
      <c r="N465" s="29" t="n"/>
      <c r="O465" s="29" t="n"/>
      <c r="P465" s="29">
        <f>IF(N465="","",N465-O465)</f>
        <v/>
      </c>
      <c r="Q465" s="27" t="n"/>
      <c r="R465" s="27" t="n"/>
      <c r="S465" s="28" t="n"/>
      <c r="T465" s="28" t="n"/>
      <c r="U465" s="28" t="n"/>
      <c r="V465" s="27" t="n"/>
    </row>
    <row r="466">
      <c r="A466" s="27" t="n"/>
      <c r="B466" s="28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>
        <f>IF(COUNTA(H466:L466)&gt;0,SUM(H466:L466),"")</f>
        <v/>
      </c>
      <c r="N466" s="29" t="n"/>
      <c r="O466" s="29" t="n"/>
      <c r="P466" s="29">
        <f>IF(N466="","",N466-O466)</f>
        <v/>
      </c>
      <c r="Q466" s="27" t="n"/>
      <c r="R466" s="27" t="n"/>
      <c r="S466" s="28" t="n"/>
      <c r="T466" s="28" t="n"/>
      <c r="U466" s="28" t="n"/>
      <c r="V466" s="27" t="n"/>
    </row>
    <row r="467">
      <c r="A467" s="27" t="n"/>
      <c r="B467" s="28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>
        <f>IF(COUNTA(H467:L467)&gt;0,SUM(H467:L467),"")</f>
        <v/>
      </c>
      <c r="N467" s="29" t="n"/>
      <c r="O467" s="29" t="n"/>
      <c r="P467" s="29">
        <f>IF(N467="","",N467-O467)</f>
        <v/>
      </c>
      <c r="Q467" s="27" t="n"/>
      <c r="R467" s="27" t="n"/>
      <c r="S467" s="28" t="n"/>
      <c r="T467" s="28" t="n"/>
      <c r="U467" s="28" t="n"/>
      <c r="V467" s="27" t="n"/>
    </row>
    <row r="468">
      <c r="A468" s="27" t="n"/>
      <c r="B468" s="28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>
        <f>IF(COUNTA(H468:L468)&gt;0,SUM(H468:L468),"")</f>
        <v/>
      </c>
      <c r="N468" s="29" t="n"/>
      <c r="O468" s="29" t="n"/>
      <c r="P468" s="29">
        <f>IF(N468="","",N468-O468)</f>
        <v/>
      </c>
      <c r="Q468" s="27" t="n"/>
      <c r="R468" s="27" t="n"/>
      <c r="S468" s="28" t="n"/>
      <c r="T468" s="28" t="n"/>
      <c r="U468" s="28" t="n"/>
      <c r="V468" s="27" t="n"/>
    </row>
    <row r="469">
      <c r="A469" s="27" t="n"/>
      <c r="B469" s="28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>
        <f>IF(COUNTA(H469:L469)&gt;0,SUM(H469:L469),"")</f>
        <v/>
      </c>
      <c r="N469" s="29" t="n"/>
      <c r="O469" s="29" t="n"/>
      <c r="P469" s="29">
        <f>IF(N469="","",N469-O469)</f>
        <v/>
      </c>
      <c r="Q469" s="27" t="n"/>
      <c r="R469" s="27" t="n"/>
      <c r="S469" s="28" t="n"/>
      <c r="T469" s="28" t="n"/>
      <c r="U469" s="28" t="n"/>
      <c r="V469" s="27" t="n"/>
    </row>
    <row r="470">
      <c r="A470" s="27" t="n"/>
      <c r="B470" s="28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>
        <f>IF(COUNTA(H470:L470)&gt;0,SUM(H470:L470),"")</f>
        <v/>
      </c>
      <c r="N470" s="29" t="n"/>
      <c r="O470" s="29" t="n"/>
      <c r="P470" s="29">
        <f>IF(N470="","",N470-O470)</f>
        <v/>
      </c>
      <c r="Q470" s="27" t="n"/>
      <c r="R470" s="27" t="n"/>
      <c r="S470" s="28" t="n"/>
      <c r="T470" s="28" t="n"/>
      <c r="U470" s="28" t="n"/>
      <c r="V470" s="27" t="n"/>
    </row>
    <row r="471">
      <c r="A471" s="27" t="n"/>
      <c r="B471" s="28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>
        <f>IF(COUNTA(H471:L471)&gt;0,SUM(H471:L471),"")</f>
        <v/>
      </c>
      <c r="N471" s="29" t="n"/>
      <c r="O471" s="29" t="n"/>
      <c r="P471" s="29">
        <f>IF(N471="","",N471-O471)</f>
        <v/>
      </c>
      <c r="Q471" s="27" t="n"/>
      <c r="R471" s="27" t="n"/>
      <c r="S471" s="28" t="n"/>
      <c r="T471" s="28" t="n"/>
      <c r="U471" s="28" t="n"/>
      <c r="V471" s="27" t="n"/>
    </row>
    <row r="472">
      <c r="A472" s="27" t="n"/>
      <c r="B472" s="28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>
        <f>IF(COUNTA(H472:L472)&gt;0,SUM(H472:L472),"")</f>
        <v/>
      </c>
      <c r="N472" s="29" t="n"/>
      <c r="O472" s="29" t="n"/>
      <c r="P472" s="29">
        <f>IF(N472="","",N472-O472)</f>
        <v/>
      </c>
      <c r="Q472" s="27" t="n"/>
      <c r="R472" s="27" t="n"/>
      <c r="S472" s="28" t="n"/>
      <c r="T472" s="28" t="n"/>
      <c r="U472" s="28" t="n"/>
      <c r="V472" s="27" t="n"/>
    </row>
    <row r="473">
      <c r="A473" s="27" t="n"/>
      <c r="B473" s="28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>
        <f>IF(COUNTA(H473:L473)&gt;0,SUM(H473:L473),"")</f>
        <v/>
      </c>
      <c r="N473" s="29" t="n"/>
      <c r="O473" s="29" t="n"/>
      <c r="P473" s="29">
        <f>IF(N473="","",N473-O473)</f>
        <v/>
      </c>
      <c r="Q473" s="27" t="n"/>
      <c r="R473" s="27" t="n"/>
      <c r="S473" s="28" t="n"/>
      <c r="T473" s="28" t="n"/>
      <c r="U473" s="28" t="n"/>
      <c r="V473" s="27" t="n"/>
    </row>
    <row r="474">
      <c r="A474" s="27" t="n"/>
      <c r="B474" s="28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>
        <f>IF(COUNTA(H474:L474)&gt;0,SUM(H474:L474),"")</f>
        <v/>
      </c>
      <c r="N474" s="29" t="n"/>
      <c r="O474" s="29" t="n"/>
      <c r="P474" s="29">
        <f>IF(N474="","",N474-O474)</f>
        <v/>
      </c>
      <c r="Q474" s="27" t="n"/>
      <c r="R474" s="27" t="n"/>
      <c r="S474" s="28" t="n"/>
      <c r="T474" s="28" t="n"/>
      <c r="U474" s="28" t="n"/>
      <c r="V474" s="27" t="n"/>
    </row>
    <row r="475">
      <c r="A475" s="27" t="n"/>
      <c r="B475" s="28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>
        <f>IF(COUNTA(H475:L475)&gt;0,SUM(H475:L475),"")</f>
        <v/>
      </c>
      <c r="N475" s="29" t="n"/>
      <c r="O475" s="29" t="n"/>
      <c r="P475" s="29">
        <f>IF(N475="","",N475-O475)</f>
        <v/>
      </c>
      <c r="Q475" s="27" t="n"/>
      <c r="R475" s="27" t="n"/>
      <c r="S475" s="28" t="n"/>
      <c r="T475" s="28" t="n"/>
      <c r="U475" s="28" t="n"/>
      <c r="V475" s="27" t="n"/>
    </row>
    <row r="476">
      <c r="A476" s="27" t="n"/>
      <c r="B476" s="28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>
        <f>IF(COUNTA(H476:L476)&gt;0,SUM(H476:L476),"")</f>
        <v/>
      </c>
      <c r="N476" s="29" t="n"/>
      <c r="O476" s="29" t="n"/>
      <c r="P476" s="29">
        <f>IF(N476="","",N476-O476)</f>
        <v/>
      </c>
      <c r="Q476" s="27" t="n"/>
      <c r="R476" s="27" t="n"/>
      <c r="S476" s="28" t="n"/>
      <c r="T476" s="28" t="n"/>
      <c r="U476" s="28" t="n"/>
      <c r="V476" s="27" t="n"/>
    </row>
    <row r="477">
      <c r="A477" s="27" t="n"/>
      <c r="B477" s="28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>
        <f>IF(COUNTA(H477:L477)&gt;0,SUM(H477:L477),"")</f>
        <v/>
      </c>
      <c r="N477" s="29" t="n"/>
      <c r="O477" s="29" t="n"/>
      <c r="P477" s="29">
        <f>IF(N477="","",N477-O477)</f>
        <v/>
      </c>
      <c r="Q477" s="27" t="n"/>
      <c r="R477" s="27" t="n"/>
      <c r="S477" s="28" t="n"/>
      <c r="T477" s="28" t="n"/>
      <c r="U477" s="28" t="n"/>
      <c r="V477" s="27" t="n"/>
    </row>
    <row r="478">
      <c r="A478" s="27" t="n"/>
      <c r="B478" s="28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>
        <f>IF(COUNTA(H478:L478)&gt;0,SUM(H478:L478),"")</f>
        <v/>
      </c>
      <c r="N478" s="29" t="n"/>
      <c r="O478" s="29" t="n"/>
      <c r="P478" s="29">
        <f>IF(N478="","",N478-O478)</f>
        <v/>
      </c>
      <c r="Q478" s="27" t="n"/>
      <c r="R478" s="27" t="n"/>
      <c r="S478" s="28" t="n"/>
      <c r="T478" s="28" t="n"/>
      <c r="U478" s="28" t="n"/>
      <c r="V478" s="27" t="n"/>
    </row>
    <row r="479">
      <c r="A479" s="27" t="n"/>
      <c r="B479" s="28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>
        <f>IF(COUNTA(H479:L479)&gt;0,SUM(H479:L479),"")</f>
        <v/>
      </c>
      <c r="N479" s="29" t="n"/>
      <c r="O479" s="29" t="n"/>
      <c r="P479" s="29">
        <f>IF(N479="","",N479-O479)</f>
        <v/>
      </c>
      <c r="Q479" s="27" t="n"/>
      <c r="R479" s="27" t="n"/>
      <c r="S479" s="28" t="n"/>
      <c r="T479" s="28" t="n"/>
      <c r="U479" s="28" t="n"/>
      <c r="V479" s="27" t="n"/>
    </row>
    <row r="480">
      <c r="A480" s="27" t="n"/>
      <c r="B480" s="28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>
        <f>IF(COUNTA(H480:L480)&gt;0,SUM(H480:L480),"")</f>
        <v/>
      </c>
      <c r="N480" s="29" t="n"/>
      <c r="O480" s="29" t="n"/>
      <c r="P480" s="29">
        <f>IF(N480="","",N480-O480)</f>
        <v/>
      </c>
      <c r="Q480" s="27" t="n"/>
      <c r="R480" s="27" t="n"/>
      <c r="S480" s="28" t="n"/>
      <c r="T480" s="28" t="n"/>
      <c r="U480" s="28" t="n"/>
      <c r="V480" s="27" t="n"/>
    </row>
    <row r="481">
      <c r="A481" s="27" t="n"/>
      <c r="B481" s="28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>
        <f>IF(COUNTA(H481:L481)&gt;0,SUM(H481:L481),"")</f>
        <v/>
      </c>
      <c r="N481" s="29" t="n"/>
      <c r="O481" s="29" t="n"/>
      <c r="P481" s="29">
        <f>IF(N481="","",N481-O481)</f>
        <v/>
      </c>
      <c r="Q481" s="27" t="n"/>
      <c r="R481" s="27" t="n"/>
      <c r="S481" s="28" t="n"/>
      <c r="T481" s="28" t="n"/>
      <c r="U481" s="28" t="n"/>
      <c r="V481" s="27" t="n"/>
    </row>
    <row r="482">
      <c r="A482" s="27" t="n"/>
      <c r="B482" s="28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>
        <f>IF(COUNTA(H482:L482)&gt;0,SUM(H482:L482),"")</f>
        <v/>
      </c>
      <c r="N482" s="29" t="n"/>
      <c r="O482" s="29" t="n"/>
      <c r="P482" s="29">
        <f>IF(N482="","",N482-O482)</f>
        <v/>
      </c>
      <c r="Q482" s="27" t="n"/>
      <c r="R482" s="27" t="n"/>
      <c r="S482" s="28" t="n"/>
      <c r="T482" s="28" t="n"/>
      <c r="U482" s="28" t="n"/>
      <c r="V482" s="27" t="n"/>
    </row>
    <row r="483">
      <c r="A483" s="27" t="n"/>
      <c r="B483" s="28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>
        <f>IF(COUNTA(H483:L483)&gt;0,SUM(H483:L483),"")</f>
        <v/>
      </c>
      <c r="N483" s="29" t="n"/>
      <c r="O483" s="29" t="n"/>
      <c r="P483" s="29">
        <f>IF(N483="","",N483-O483)</f>
        <v/>
      </c>
      <c r="Q483" s="27" t="n"/>
      <c r="R483" s="27" t="n"/>
      <c r="S483" s="28" t="n"/>
      <c r="T483" s="28" t="n"/>
      <c r="U483" s="28" t="n"/>
      <c r="V483" s="27" t="n"/>
    </row>
    <row r="484">
      <c r="A484" s="27" t="n"/>
      <c r="B484" s="28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>
        <f>IF(COUNTA(H484:L484)&gt;0,SUM(H484:L484),"")</f>
        <v/>
      </c>
      <c r="N484" s="29" t="n"/>
      <c r="O484" s="29" t="n"/>
      <c r="P484" s="29">
        <f>IF(N484="","",N484-O484)</f>
        <v/>
      </c>
      <c r="Q484" s="27" t="n"/>
      <c r="R484" s="27" t="n"/>
      <c r="S484" s="28" t="n"/>
      <c r="T484" s="28" t="n"/>
      <c r="U484" s="28" t="n"/>
      <c r="V484" s="27" t="n"/>
    </row>
    <row r="485">
      <c r="A485" s="27" t="n"/>
      <c r="B485" s="28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>
        <f>IF(COUNTA(H485:L485)&gt;0,SUM(H485:L485),"")</f>
        <v/>
      </c>
      <c r="N485" s="29" t="n"/>
      <c r="O485" s="29" t="n"/>
      <c r="P485" s="29">
        <f>IF(N485="","",N485-O485)</f>
        <v/>
      </c>
      <c r="Q485" s="27" t="n"/>
      <c r="R485" s="27" t="n"/>
      <c r="S485" s="28" t="n"/>
      <c r="T485" s="28" t="n"/>
      <c r="U485" s="28" t="n"/>
      <c r="V485" s="27" t="n"/>
    </row>
    <row r="486">
      <c r="A486" s="27" t="n"/>
      <c r="B486" s="28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>
        <f>IF(COUNTA(H486:L486)&gt;0,SUM(H486:L486),"")</f>
        <v/>
      </c>
      <c r="N486" s="29" t="n"/>
      <c r="O486" s="29" t="n"/>
      <c r="P486" s="29">
        <f>IF(N486="","",N486-O486)</f>
        <v/>
      </c>
      <c r="Q486" s="27" t="n"/>
      <c r="R486" s="27" t="n"/>
      <c r="S486" s="28" t="n"/>
      <c r="T486" s="28" t="n"/>
      <c r="U486" s="28" t="n"/>
      <c r="V486" s="27" t="n"/>
    </row>
    <row r="487">
      <c r="A487" s="27" t="n"/>
      <c r="B487" s="28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>
        <f>IF(COUNTA(H487:L487)&gt;0,SUM(H487:L487),"")</f>
        <v/>
      </c>
      <c r="N487" s="29" t="n"/>
      <c r="O487" s="29" t="n"/>
      <c r="P487" s="29">
        <f>IF(N487="","",N487-O487)</f>
        <v/>
      </c>
      <c r="Q487" s="27" t="n"/>
      <c r="R487" s="27" t="n"/>
      <c r="S487" s="28" t="n"/>
      <c r="T487" s="28" t="n"/>
      <c r="U487" s="28" t="n"/>
      <c r="V487" s="27" t="n"/>
    </row>
    <row r="488">
      <c r="A488" s="27" t="n"/>
      <c r="B488" s="28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>
        <f>IF(COUNTA(H488:L488)&gt;0,SUM(H488:L488),"")</f>
        <v/>
      </c>
      <c r="N488" s="29" t="n"/>
      <c r="O488" s="29" t="n"/>
      <c r="P488" s="29">
        <f>IF(N488="","",N488-O488)</f>
        <v/>
      </c>
      <c r="Q488" s="27" t="n"/>
      <c r="R488" s="27" t="n"/>
      <c r="S488" s="28" t="n"/>
      <c r="T488" s="28" t="n"/>
      <c r="U488" s="28" t="n"/>
      <c r="V488" s="27" t="n"/>
    </row>
    <row r="489">
      <c r="A489" s="27" t="n"/>
      <c r="B489" s="28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>
        <f>IF(COUNTA(H489:L489)&gt;0,SUM(H489:L489),"")</f>
        <v/>
      </c>
      <c r="N489" s="29" t="n"/>
      <c r="O489" s="29" t="n"/>
      <c r="P489" s="29">
        <f>IF(N489="","",N489-O489)</f>
        <v/>
      </c>
      <c r="Q489" s="27" t="n"/>
      <c r="R489" s="27" t="n"/>
      <c r="S489" s="28" t="n"/>
      <c r="T489" s="28" t="n"/>
      <c r="U489" s="28" t="n"/>
      <c r="V489" s="27" t="n"/>
    </row>
    <row r="490">
      <c r="A490" s="27" t="n"/>
      <c r="B490" s="28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>
        <f>IF(COUNTA(H490:L490)&gt;0,SUM(H490:L490),"")</f>
        <v/>
      </c>
      <c r="N490" s="29" t="n"/>
      <c r="O490" s="29" t="n"/>
      <c r="P490" s="29">
        <f>IF(N490="","",N490-O490)</f>
        <v/>
      </c>
      <c r="Q490" s="27" t="n"/>
      <c r="R490" s="27" t="n"/>
      <c r="S490" s="28" t="n"/>
      <c r="T490" s="28" t="n"/>
      <c r="U490" s="28" t="n"/>
      <c r="V490" s="27" t="n"/>
    </row>
    <row r="491">
      <c r="A491" s="27" t="n"/>
      <c r="B491" s="28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>
        <f>IF(COUNTA(H491:L491)&gt;0,SUM(H491:L491),"")</f>
        <v/>
      </c>
      <c r="N491" s="29" t="n"/>
      <c r="O491" s="29" t="n"/>
      <c r="P491" s="29">
        <f>IF(N491="","",N491-O491)</f>
        <v/>
      </c>
      <c r="Q491" s="27" t="n"/>
      <c r="R491" s="27" t="n"/>
      <c r="S491" s="28" t="n"/>
      <c r="T491" s="28" t="n"/>
      <c r="U491" s="28" t="n"/>
      <c r="V491" s="27" t="n"/>
    </row>
    <row r="492">
      <c r="A492" s="27" t="n"/>
      <c r="B492" s="28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>
        <f>IF(COUNTA(H492:L492)&gt;0,SUM(H492:L492),"")</f>
        <v/>
      </c>
      <c r="N492" s="29" t="n"/>
      <c r="O492" s="29" t="n"/>
      <c r="P492" s="29">
        <f>IF(N492="","",N492-O492)</f>
        <v/>
      </c>
      <c r="Q492" s="27" t="n"/>
      <c r="R492" s="27" t="n"/>
      <c r="S492" s="28" t="n"/>
      <c r="T492" s="28" t="n"/>
      <c r="U492" s="28" t="n"/>
      <c r="V492" s="27" t="n"/>
    </row>
    <row r="493">
      <c r="A493" s="27" t="n"/>
      <c r="B493" s="28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>
        <f>IF(COUNTA(H493:L493)&gt;0,SUM(H493:L493),"")</f>
        <v/>
      </c>
      <c r="N493" s="29" t="n"/>
      <c r="O493" s="29" t="n"/>
      <c r="P493" s="29">
        <f>IF(N493="","",N493-O493)</f>
        <v/>
      </c>
      <c r="Q493" s="27" t="n"/>
      <c r="R493" s="27" t="n"/>
      <c r="S493" s="28" t="n"/>
      <c r="T493" s="28" t="n"/>
      <c r="U493" s="28" t="n"/>
      <c r="V493" s="27" t="n"/>
    </row>
    <row r="494">
      <c r="A494" s="27" t="n"/>
      <c r="B494" s="28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>
        <f>IF(COUNTA(H494:L494)&gt;0,SUM(H494:L494),"")</f>
        <v/>
      </c>
      <c r="N494" s="29" t="n"/>
      <c r="O494" s="29" t="n"/>
      <c r="P494" s="29">
        <f>IF(N494="","",N494-O494)</f>
        <v/>
      </c>
      <c r="Q494" s="27" t="n"/>
      <c r="R494" s="27" t="n"/>
      <c r="S494" s="28" t="n"/>
      <c r="T494" s="28" t="n"/>
      <c r="U494" s="28" t="n"/>
      <c r="V494" s="27" t="n"/>
    </row>
    <row r="495">
      <c r="A495" s="27" t="n"/>
      <c r="B495" s="28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>
        <f>IF(COUNTA(H495:L495)&gt;0,SUM(H495:L495),"")</f>
        <v/>
      </c>
      <c r="N495" s="29" t="n"/>
      <c r="O495" s="29" t="n"/>
      <c r="P495" s="29">
        <f>IF(N495="","",N495-O495)</f>
        <v/>
      </c>
      <c r="Q495" s="27" t="n"/>
      <c r="R495" s="27" t="n"/>
      <c r="S495" s="28" t="n"/>
      <c r="T495" s="28" t="n"/>
      <c r="U495" s="28" t="n"/>
      <c r="V495" s="27" t="n"/>
    </row>
    <row r="496">
      <c r="A496" s="27" t="n"/>
      <c r="B496" s="28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>
        <f>IF(COUNTA(H496:L496)&gt;0,SUM(H496:L496),"")</f>
        <v/>
      </c>
      <c r="N496" s="29" t="n"/>
      <c r="O496" s="29" t="n"/>
      <c r="P496" s="29">
        <f>IF(N496="","",N496-O496)</f>
        <v/>
      </c>
      <c r="Q496" s="27" t="n"/>
      <c r="R496" s="27" t="n"/>
      <c r="S496" s="28" t="n"/>
      <c r="T496" s="28" t="n"/>
      <c r="U496" s="28" t="n"/>
      <c r="V496" s="27" t="n"/>
    </row>
    <row r="497">
      <c r="A497" s="27" t="n"/>
      <c r="B497" s="28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>
        <f>IF(COUNTA(H497:L497)&gt;0,SUM(H497:L497),"")</f>
        <v/>
      </c>
      <c r="N497" s="29" t="n"/>
      <c r="O497" s="29" t="n"/>
      <c r="P497" s="29">
        <f>IF(N497="","",N497-O497)</f>
        <v/>
      </c>
      <c r="Q497" s="27" t="n"/>
      <c r="R497" s="27" t="n"/>
      <c r="S497" s="28" t="n"/>
      <c r="T497" s="28" t="n"/>
      <c r="U497" s="28" t="n"/>
      <c r="V497" s="27" t="n"/>
    </row>
    <row r="498">
      <c r="A498" s="27" t="n"/>
      <c r="B498" s="28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>
        <f>IF(COUNTA(H498:L498)&gt;0,SUM(H498:L498),"")</f>
        <v/>
      </c>
      <c r="N498" s="29" t="n"/>
      <c r="O498" s="29" t="n"/>
      <c r="P498" s="29">
        <f>IF(N498="","",N498-O498)</f>
        <v/>
      </c>
      <c r="Q498" s="27" t="n"/>
      <c r="R498" s="27" t="n"/>
      <c r="S498" s="28" t="n"/>
      <c r="T498" s="28" t="n"/>
      <c r="U498" s="28" t="n"/>
      <c r="V498" s="27" t="n"/>
    </row>
    <row r="499">
      <c r="A499" s="27" t="n"/>
      <c r="B499" s="28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>
        <f>IF(COUNTA(H499:L499)&gt;0,SUM(H499:L499),"")</f>
        <v/>
      </c>
      <c r="N499" s="29" t="n"/>
      <c r="O499" s="29" t="n"/>
      <c r="P499" s="29">
        <f>IF(N499="","",N499-O499)</f>
        <v/>
      </c>
      <c r="Q499" s="27" t="n"/>
      <c r="R499" s="27" t="n"/>
      <c r="S499" s="28" t="n"/>
      <c r="T499" s="28" t="n"/>
      <c r="U499" s="28" t="n"/>
      <c r="V499" s="27" t="n"/>
    </row>
    <row r="500">
      <c r="A500" s="27" t="n"/>
      <c r="B500" s="28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>
        <f>IF(COUNTA(H500:L500)&gt;0,SUM(H500:L500),"")</f>
        <v/>
      </c>
      <c r="N500" s="29" t="n"/>
      <c r="O500" s="29" t="n"/>
      <c r="P500" s="29">
        <f>IF(N500="","",N500-O500)</f>
        <v/>
      </c>
      <c r="Q500" s="27" t="n"/>
      <c r="R500" s="27" t="n"/>
      <c r="S500" s="28" t="n"/>
      <c r="T500" s="28" t="n"/>
      <c r="U500" s="28" t="n"/>
      <c r="V500" s="27" t="n"/>
    </row>
  </sheetData>
  <mergeCells count="3">
    <mergeCell ref="H2:L2"/>
    <mergeCell ref="A1:V1"/>
    <mergeCell ref="N2:P2"/>
  </mergeCells>
  <conditionalFormatting sqref="R4:R500">
    <cfRule type="cellIs" priority="1" operator="equal" dxfId="0">
      <formula>"נשלח"</formula>
    </cfRule>
    <cfRule type="cellIs" priority="2" operator="equal" dxfId="1">
      <formula>"נארז"</formula>
    </cfRule>
    <cfRule type="cellIs" priority="3" operator="equal" dxfId="2">
      <formula>"התקבל"</formula>
    </cfRule>
    <cfRule type="cellIs" priority="5" operator="equal" dxfId="4">
      <formula>"נשלח"</formula>
    </cfRule>
    <cfRule type="cellIs" priority="6" operator="equal" dxfId="5">
      <formula>"נארז"</formula>
    </cfRule>
    <cfRule type="cellIs" priority="7" operator="equal" dxfId="6">
      <formula>"התקבל"</formula>
    </cfRule>
  </conditionalFormatting>
  <conditionalFormatting sqref="P4:P500">
    <cfRule type="cellIs" priority="4" operator="greaterThan" dxfId="3">
      <formula>0</formula>
    </cfRule>
    <cfRule type="cellIs" priority="8" operator="greaterThan" dxfId="7">
      <formula>0</formula>
    </cfRule>
    <cfRule type="cellIs" priority="9" operator="equal" dxfId="4">
      <formula>0</formula>
    </cfRule>
  </conditionalFormatting>
  <dataValidations count="6">
    <dataValidation sqref="Q4:Q500" showDropDown="0" showInputMessage="0" showErrorMessage="0" allowBlank="0" error="בחר אופן תשלום מהרשימה" type="list">
      <formula1>"מזומן,העברה בנקאית,ביט,פייבוקס,אשראי"</formula1>
    </dataValidation>
    <dataValidation sqref="R4:R500" showDropDown="0" showInputMessage="0" showErrorMessage="0" allowBlank="0" error="בחר סטטוס מהרשימה" type="list">
      <formula1>"התקבל,נארז,נשלח"</formula1>
    </dataValidation>
    <dataValidation sqref="G4:G500" showDropDown="0" showInputMessage="0" showErrorMessage="0" allowBlank="0" error="בחר סוג מיסטרי מהרשימה" type="list">
      <formula1>"של העונה,רטרו,מיקס,מונדיאל"</formula1>
    </dataValidation>
    <dataValidation sqref="R4:R500" showDropDown="0" showInputMessage="0" showErrorMessage="0" allowBlank="1" prompt="בחר סטטוס" type="list">
      <formula1>"התקבל,נארז,נשלח"</formula1>
    </dataValidation>
    <dataValidation sqref="G4:G500" showDropDown="0" showInputMessage="0" showErrorMessage="0" allowBlank="1" prompt="בחר סוג מיסטרי" type="list">
      <formula1>"של העונה,רטרו,מיקס,מונדיאל"</formula1>
    </dataValidation>
    <dataValidation sqref="Q4:Q500" showDropDown="0" showInputMessage="0" showErrorMessage="0" allowBlank="1" prompt="בחר אופן תשלום" type="list">
      <formula1>"ביט,אשראי,העברה בנקאית,פייבוקס,מזומן,פייפאל"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3" customWidth="1" min="3" max="3"/>
    <col width="16" customWidth="1" min="4" max="4"/>
    <col width="18" customWidth="1" min="5" max="5"/>
    <col width="16" customWidth="1" min="6" max="6"/>
  </cols>
  <sheetData>
    <row r="1" ht="35" customHeight="1">
      <c r="A1" s="30" t="inlineStr">
        <is>
          <t>דשבורד הזמנות - מיסטרי בוקס</t>
        </is>
      </c>
    </row>
    <row r="2">
      <c r="A2" s="31" t="n"/>
      <c r="B2" s="31" t="n"/>
      <c r="C2" s="31" t="n"/>
      <c r="D2" s="31" t="n"/>
      <c r="E2" s="31" t="n"/>
    </row>
    <row r="3">
      <c r="A3" s="32" t="inlineStr">
        <is>
          <t>סיכום כללי</t>
        </is>
      </c>
      <c r="B3" s="33" t="n"/>
      <c r="C3" s="31" t="n"/>
      <c r="D3" s="32" t="inlineStr">
        <is>
          <t>סיכום מלאי מידות</t>
        </is>
      </c>
      <c r="E3" s="33" t="n"/>
      <c r="F3" s="33" t="n"/>
    </row>
    <row r="4">
      <c r="A4" s="34" t="inlineStr">
        <is>
          <t>סה"כ הזמנות</t>
        </is>
      </c>
      <c r="B4" s="35">
        <f>COUNTA(הזמנות!A4:A500)</f>
        <v/>
      </c>
      <c r="C4" s="31" t="n"/>
      <c r="D4" s="36" t="inlineStr">
        <is>
          <t>מידה</t>
        </is>
      </c>
      <c r="E4" s="36" t="inlineStr">
        <is>
          <t>כמות שהוזמנה</t>
        </is>
      </c>
      <c r="F4" s="36" t="inlineStr">
        <is>
          <t>אחוז מסה"כ</t>
        </is>
      </c>
    </row>
    <row r="5">
      <c r="A5" s="37" t="inlineStr">
        <is>
          <t>סה"כ חולצות</t>
        </is>
      </c>
      <c r="B5" s="38">
        <f>SUM(הזמנות!M4:M500)</f>
        <v/>
      </c>
      <c r="C5" s="31" t="n"/>
      <c r="D5" s="39" t="inlineStr">
        <is>
          <t>S</t>
        </is>
      </c>
      <c r="E5" s="35">
        <f>SUM(הזמנות!H4:H500)</f>
        <v/>
      </c>
      <c r="F5" s="40">
        <f>IF(SUM(E5:E9)&gt;0,E5/SUM(E5:E9),0)</f>
        <v/>
      </c>
    </row>
    <row r="6">
      <c r="A6" s="34" t="inlineStr">
        <is>
          <t>סה"כ הכנסות</t>
        </is>
      </c>
      <c r="B6" s="41">
        <f>SUM(הזמנות!N4:N500)</f>
        <v/>
      </c>
      <c r="C6" s="31" t="n"/>
      <c r="D6" s="42" t="inlineStr">
        <is>
          <t>M</t>
        </is>
      </c>
      <c r="E6" s="43">
        <f>SUM(הזמנות!I4:I500)</f>
        <v/>
      </c>
      <c r="F6" s="44">
        <f>IF(SUM(E5:E9)&gt;0,E6/SUM(E5:E9),0)</f>
        <v/>
      </c>
    </row>
    <row r="7">
      <c r="A7" s="37" t="inlineStr">
        <is>
          <t>סה"כ מקדמות שהתקבלו</t>
        </is>
      </c>
      <c r="B7" s="38">
        <f>SUM(הזמנות!O4:O500)</f>
        <v/>
      </c>
      <c r="C7" s="31" t="n"/>
      <c r="D7" s="39" t="inlineStr">
        <is>
          <t>L</t>
        </is>
      </c>
      <c r="E7" s="35">
        <f>SUM(הזמנות!J4:J500)</f>
        <v/>
      </c>
      <c r="F7" s="40">
        <f>IF(SUM(E5:E9)&gt;0,E7/SUM(E5:E9),0)</f>
        <v/>
      </c>
    </row>
    <row r="8">
      <c r="A8" s="34" t="inlineStr">
        <is>
          <t>סה"כ יתרות לגבייה</t>
        </is>
      </c>
      <c r="B8" s="41">
        <f>SUM(הזמנות!P4:P500)</f>
        <v/>
      </c>
      <c r="C8" s="31" t="n"/>
      <c r="D8" s="42" t="inlineStr">
        <is>
          <t>XL</t>
        </is>
      </c>
      <c r="E8" s="43">
        <f>SUM(הזמנות!K4:K500)</f>
        <v/>
      </c>
      <c r="F8" s="44">
        <f>IF(SUM(E5:E9)&gt;0,E8/SUM(E5:E9),0)</f>
        <v/>
      </c>
    </row>
    <row r="9">
      <c r="A9" s="37" t="inlineStr">
        <is>
          <t>ממוצע הזמנה</t>
        </is>
      </c>
      <c r="B9" s="38">
        <f>IF(COUNTA(הזמנות!A4:A500)&gt;0,SUM(הזמנות!N4:N500)/COUNTA(הזמנות!A4:A500),0)</f>
        <v/>
      </c>
      <c r="C9" s="31" t="n"/>
      <c r="D9" s="39" t="inlineStr">
        <is>
          <t>XXL</t>
        </is>
      </c>
      <c r="E9" s="35">
        <f>SUM(הזמנות!L4:L500)</f>
        <v/>
      </c>
      <c r="F9" s="40">
        <f>IF(SUM(E5:E9)&gt;0,E9/SUM(E5:E9),0)</f>
        <v/>
      </c>
    </row>
    <row r="10">
      <c r="A10" s="34" t="inlineStr">
        <is>
          <t>אחוז גבייה</t>
        </is>
      </c>
      <c r="B10" s="40">
        <f>IF(SUM(הזמנות!N4:N500)&gt;0,SUM(הזמנות!O4:O500)/SUM(הזמנות!N4:N500),0)</f>
        <v/>
      </c>
      <c r="C10" s="31" t="n"/>
      <c r="D10" s="36" t="inlineStr">
        <is>
          <t>סה"כ</t>
        </is>
      </c>
      <c r="E10" s="36">
        <f>SUM(E5:E9)</f>
        <v/>
      </c>
      <c r="F10" s="36" t="inlineStr">
        <is>
          <t>100%</t>
        </is>
      </c>
    </row>
    <row r="11">
      <c r="A11" s="31" t="n"/>
      <c r="B11" s="31" t="n"/>
      <c r="C11" s="31" t="n"/>
      <c r="D11" s="31" t="n"/>
      <c r="E11" s="31" t="n"/>
    </row>
    <row r="12">
      <c r="A12" s="32" t="inlineStr">
        <is>
          <t>סטטוס הזמנות</t>
        </is>
      </c>
      <c r="B12" s="33" t="n"/>
      <c r="C12" s="31" t="n"/>
      <c r="D12" s="32" t="inlineStr">
        <is>
          <t>סיכום לפי סוג מיסטרי</t>
        </is>
      </c>
      <c r="E12" s="33" t="n"/>
      <c r="F12" s="33" t="n"/>
    </row>
    <row r="13">
      <c r="A13" s="45" t="inlineStr">
        <is>
          <t>התקבל</t>
        </is>
      </c>
      <c r="B13" s="46">
        <f>COUNTIF(הזמנות!R4:R500,"התקבל")</f>
        <v/>
      </c>
      <c r="C13" s="31" t="n"/>
      <c r="D13" s="36" t="inlineStr">
        <is>
          <t>סוג</t>
        </is>
      </c>
      <c r="E13" s="36" t="inlineStr">
        <is>
          <t>כמות הזמנות</t>
        </is>
      </c>
      <c r="F13" s="36" t="inlineStr">
        <is>
          <t>סה"כ חולצות</t>
        </is>
      </c>
    </row>
    <row r="14">
      <c r="A14" s="47" t="inlineStr">
        <is>
          <t>נארז</t>
        </is>
      </c>
      <c r="B14" s="48">
        <f>COUNTIF(הזמנות!R4:R500,"נארז")</f>
        <v/>
      </c>
      <c r="C14" s="31" t="n"/>
      <c r="D14" s="39" t="inlineStr">
        <is>
          <t>של העונה</t>
        </is>
      </c>
      <c r="E14" s="35">
        <f>COUNTIF(הזמנות!G4:G500,"של העונה")</f>
        <v/>
      </c>
      <c r="F14" s="35">
        <f>SUMIF(הזמנות!G4:G500,"של העונה",הזמנות!M4:M500)</f>
        <v/>
      </c>
    </row>
    <row r="15">
      <c r="A15" s="49" t="inlineStr">
        <is>
          <t>נשלח</t>
        </is>
      </c>
      <c r="B15" s="50">
        <f>COUNTIF(הזמנות!R4:R500,"נשלח")</f>
        <v/>
      </c>
      <c r="C15" s="31" t="n"/>
      <c r="D15" s="42" t="inlineStr">
        <is>
          <t>רטרו</t>
        </is>
      </c>
      <c r="E15" s="43">
        <f>COUNTIF(הזמנות!G4:G500,"רטרו")</f>
        <v/>
      </c>
      <c r="F15" s="43">
        <f>SUMIF(הזמנות!G4:G500,"רטרו",הזמנות!M4:M500)</f>
        <v/>
      </c>
    </row>
    <row r="16">
      <c r="D16" s="39" t="inlineStr">
        <is>
          <t>מיקס</t>
        </is>
      </c>
      <c r="E16" s="35">
        <f>COUNTIF(הזמנות!G4:G500,"מיקס")</f>
        <v/>
      </c>
      <c r="F16" s="35">
        <f>SUMIF(הזמנות!G4:G500,"מיקס",הזמנות!M4:M500)</f>
        <v/>
      </c>
    </row>
    <row r="17">
      <c r="A17" s="51" t="inlineStr">
        <is>
          <t>סיכום לפי אופן תשלום</t>
        </is>
      </c>
      <c r="B17" s="33" t="n"/>
      <c r="D17" s="42" t="inlineStr">
        <is>
          <t>מונדיאל</t>
        </is>
      </c>
      <c r="E17" s="43">
        <f>COUNTIF(הזמנות!G4:G500,"מונדיאל")</f>
        <v/>
      </c>
      <c r="F17" s="43">
        <f>SUMIF(הזמנות!G4:G500,"מונדיאל",הזמנות!M4:M500)</f>
        <v/>
      </c>
    </row>
    <row r="18">
      <c r="A18" s="34" t="inlineStr">
        <is>
          <t>ביט</t>
        </is>
      </c>
      <c r="B18" s="35">
        <f>COUNTIF(הזמנות!Q4:Q500,"ביט")</f>
        <v/>
      </c>
    </row>
    <row r="19">
      <c r="A19" s="37" t="inlineStr">
        <is>
          <t>אשראי</t>
        </is>
      </c>
      <c r="B19" s="43">
        <f>COUNTIF(הזמנות!Q4:Q500,"אשראי")</f>
        <v/>
      </c>
    </row>
    <row r="20">
      <c r="A20" s="34" t="inlineStr">
        <is>
          <t>העברה בנקאית</t>
        </is>
      </c>
      <c r="B20" s="35">
        <f>COUNTIF(הזמנות!Q4:Q500,"העברה בנקאית")</f>
        <v/>
      </c>
    </row>
    <row r="21">
      <c r="A21" s="37" t="inlineStr">
        <is>
          <t>פייבוקס</t>
        </is>
      </c>
      <c r="B21" s="43">
        <f>COUNTIF(הזמנות!Q4:Q500,"פייבוקס")</f>
        <v/>
      </c>
    </row>
    <row r="22">
      <c r="A22" s="34" t="inlineStr">
        <is>
          <t>מזומן</t>
        </is>
      </c>
      <c r="B22" s="35">
        <f>COUNTIF(הזמנות!Q4:Q500,"מזומן")</f>
        <v/>
      </c>
    </row>
    <row r="23">
      <c r="A23" s="37" t="inlineStr">
        <is>
          <t>פייפאל</t>
        </is>
      </c>
      <c r="B23" s="43">
        <f>COUNTIF(הזמנות!Q4:Q500,"פייפאל")</f>
        <v/>
      </c>
    </row>
  </sheetData>
  <mergeCells count="6">
    <mergeCell ref="A1:F1"/>
    <mergeCell ref="D12:F12"/>
    <mergeCell ref="D3:F3"/>
    <mergeCell ref="A17:B17"/>
    <mergeCell ref="A3:B3"/>
    <mergeCell ref="A12:B12"/>
  </mergeCells>
  <conditionalFormatting sqref="B7">
    <cfRule type="cellIs" priority="1" operator="greaterThan" dxfId="3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2026-03-18T09:19:42Z</dcterms:created>
  <dcterms:modified xmlns:dcterms="http://purl.org/dc/terms/" xmlns:xsi="http://www.w3.org/2001/XMLSchema-instance" xsi:type="dcterms:W3CDTF">2026-03-18T13:37:19Z</dcterms:modified>
</cp:coreProperties>
</file>