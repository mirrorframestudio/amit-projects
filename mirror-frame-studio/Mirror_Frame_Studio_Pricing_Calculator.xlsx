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מחשבון תמחור" sheetId="1" state="visible" r:id="rId1"/>
    <sheet xmlns:r="http://schemas.openxmlformats.org/officeDocument/2006/relationships" name="מחירון" sheetId="2" state="visible" r:id="rId2"/>
    <sheet xmlns:r="http://schemas.openxmlformats.org/officeDocument/2006/relationships" name="סיכום חודשי" sheetId="3" state="visible" r:id="rId3"/>
    <sheet xmlns:r="http://schemas.openxmlformats.org/officeDocument/2006/relationships" name="מעקב הזמנות" sheetId="4" state="visible" r:id="rId4"/>
    <sheet xmlns:r="http://schemas.openxmlformats.org/officeDocument/2006/relationships" name="מחירון מותאם" sheetId="5" state="visible" r:id="rId5"/>
  </sheets>
  <definedNames/>
  <calcPr calcId="124519" fullCalcOnLoad="1"/>
</workbook>
</file>

<file path=xl/styles.xml><?xml version="1.0" encoding="utf-8"?>
<styleSheet xmlns="http://schemas.openxmlformats.org/spreadsheetml/2006/main">
  <numFmts count="5">
    <numFmt numFmtId="164" formatCode="0.000"/>
    <numFmt numFmtId="165" formatCode="₪#,##0.00"/>
    <numFmt numFmtId="166" formatCode="₪#,##0"/>
    <numFmt numFmtId="167" formatCode="0.0%"/>
    <numFmt numFmtId="168" formatCode="DD/MM/YYYY"/>
  </numFmts>
  <fonts count="14">
    <font>
      <name val="Calibri"/>
      <family val="2"/>
      <color theme="1"/>
      <sz val="11"/>
      <scheme val="minor"/>
    </font>
    <font>
      <name val="Arial"/>
      <b val="1"/>
      <color rgb="00BFA046"/>
      <sz val="16"/>
    </font>
    <font>
      <name val="Arial"/>
      <b val="1"/>
      <color rgb="000A1628"/>
      <sz val="13"/>
    </font>
    <font>
      <name val="Arial"/>
      <b val="1"/>
      <color rgb="001A1A1A"/>
      <sz val="11"/>
    </font>
    <font>
      <name val="Arial"/>
      <color rgb="001A1A1A"/>
      <sz val="11"/>
    </font>
    <font>
      <name val="Arial"/>
      <i val="1"/>
      <color rgb="00888888"/>
      <sz val="9"/>
    </font>
    <font>
      <name val="Arial"/>
      <b val="1"/>
      <color rgb="00FFFFFF"/>
      <sz val="13"/>
    </font>
    <font>
      <name val="Arial"/>
      <b val="1"/>
      <color rgb="000A1628"/>
      <sz val="11"/>
    </font>
    <font>
      <name val="Arial"/>
      <b val="1"/>
      <color rgb="002E7D32"/>
      <sz val="12"/>
    </font>
    <font>
      <name val="Arial"/>
      <b val="1"/>
      <color rgb="002E7D32"/>
      <sz val="13"/>
    </font>
    <font>
      <name val="Arial"/>
      <i val="1"/>
      <color rgb="00777777"/>
      <sz val="9"/>
    </font>
    <font>
      <name val="Arial"/>
      <b val="1"/>
      <color rgb="00BFA046"/>
      <sz val="12"/>
    </font>
    <font>
      <name val="Arial"/>
      <b val="1"/>
      <color rgb="00BFA046"/>
      <sz val="11"/>
    </font>
    <font>
      <name val="Arial"/>
      <i val="1"/>
      <color rgb="00555555"/>
      <sz val="10"/>
    </font>
  </fonts>
  <fills count="9">
    <fill>
      <patternFill/>
    </fill>
    <fill>
      <patternFill patternType="gray125"/>
    </fill>
    <fill>
      <patternFill patternType="solid">
        <fgColor rgb="000A1628"/>
        <bgColor rgb="000A1628"/>
      </patternFill>
    </fill>
    <fill>
      <patternFill patternType="solid">
        <fgColor rgb="00F5EDD6"/>
        <bgColor rgb="00F5EDD6"/>
      </patternFill>
    </fill>
    <fill>
      <patternFill patternType="solid">
        <fgColor rgb="00FFFDE7"/>
        <bgColor rgb="00FFFDE7"/>
      </patternFill>
    </fill>
    <fill>
      <patternFill patternType="solid">
        <fgColor rgb="00F2F2F4"/>
        <bgColor rgb="00F2F2F4"/>
      </patternFill>
    </fill>
    <fill>
      <patternFill patternType="solid">
        <fgColor rgb="00FFFFFF"/>
        <bgColor rgb="00FFFFFF"/>
      </patternFill>
    </fill>
    <fill>
      <patternFill patternType="solid">
        <fgColor rgb="00E8F5E9"/>
        <bgColor rgb="00E8F5E9"/>
      </patternFill>
    </fill>
    <fill>
      <patternFill patternType="solid">
        <fgColor rgb="00C8E6C9"/>
        <bgColor rgb="00C8E6C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2" fillId="3" borderId="1" applyAlignment="1" pivotButton="0" quotePrefix="0" xfId="0">
      <alignment horizontal="center" vertical="center"/>
    </xf>
    <xf numFmtId="0" fontId="0" fillId="3" borderId="1" pivotButton="0" quotePrefix="0" xfId="0"/>
    <xf numFmtId="0" fontId="3" fillId="0" borderId="1" applyAlignment="1" pivotButton="0" quotePrefix="0" xfId="0">
      <alignment horizontal="right" vertical="center"/>
    </xf>
    <xf numFmtId="0" fontId="4" fillId="4" borderId="1" applyAlignment="1" pivotButton="0" quotePrefix="0" xfId="0">
      <alignment horizontal="center" vertical="center"/>
    </xf>
    <xf numFmtId="0" fontId="4" fillId="5" borderId="1" applyAlignment="1" pivotButton="0" quotePrefix="0" xfId="0">
      <alignment horizontal="right" vertical="center"/>
    </xf>
    <xf numFmtId="164" fontId="4" fillId="5" borderId="1" applyAlignment="1" pivotButton="0" quotePrefix="0" xfId="0">
      <alignment horizontal="center" vertical="center"/>
    </xf>
    <xf numFmtId="0" fontId="4" fillId="6" borderId="1" applyAlignment="1" pivotButton="0" quotePrefix="0" xfId="0">
      <alignment horizontal="right" vertical="center"/>
    </xf>
    <xf numFmtId="165" fontId="4" fillId="6" borderId="1" applyAlignment="1" pivotButton="0" quotePrefix="0" xfId="0">
      <alignment horizontal="center" vertical="center"/>
    </xf>
    <xf numFmtId="0" fontId="5" fillId="0" borderId="0" applyAlignment="1" pivotButton="0" quotePrefix="0" xfId="0">
      <alignment horizontal="center" vertical="center"/>
    </xf>
    <xf numFmtId="165" fontId="4" fillId="5" borderId="1" applyAlignment="1" pivotButton="0" quotePrefix="0" xfId="0">
      <alignment horizontal="center" vertical="center"/>
    </xf>
    <xf numFmtId="0" fontId="3" fillId="5" borderId="1" applyAlignment="1" pivotButton="0" quotePrefix="0" xfId="0">
      <alignment horizontal="right" vertical="center"/>
    </xf>
    <xf numFmtId="165" fontId="3" fillId="5" borderId="1" applyAlignment="1" pivotButton="0" quotePrefix="0" xfId="0">
      <alignment horizontal="center" vertical="center"/>
    </xf>
    <xf numFmtId="0" fontId="6" fillId="2" borderId="1" applyAlignment="1" pivotButton="0" quotePrefix="0" xfId="0">
      <alignment horizontal="center" vertical="center"/>
    </xf>
    <xf numFmtId="0" fontId="3" fillId="7" borderId="1" applyAlignment="1" pivotButton="0" quotePrefix="0" xfId="0">
      <alignment horizontal="right" vertical="center"/>
    </xf>
    <xf numFmtId="166" fontId="7" fillId="7" borderId="1" applyAlignment="1" pivotButton="0" quotePrefix="0" xfId="0">
      <alignment horizontal="center" vertical="center"/>
    </xf>
    <xf numFmtId="0" fontId="8" fillId="8" borderId="1" applyAlignment="1" pivotButton="0" quotePrefix="0" xfId="0">
      <alignment horizontal="right" vertical="center"/>
    </xf>
    <xf numFmtId="166" fontId="9" fillId="8" borderId="1" applyAlignment="1" pivotButton="0" quotePrefix="0" xfId="0">
      <alignment horizontal="center" vertical="center"/>
    </xf>
    <xf numFmtId="0" fontId="10" fillId="0" borderId="0" applyAlignment="1" pivotButton="0" quotePrefix="0" xfId="0">
      <alignment horizontal="center" vertical="center"/>
    </xf>
    <xf numFmtId="0" fontId="11" fillId="2" borderId="1" applyAlignment="1" pivotButton="0" quotePrefix="0" xfId="0">
      <alignment horizontal="center" vertical="center" wrapText="1"/>
    </xf>
    <xf numFmtId="0" fontId="4" fillId="5" borderId="1" applyAlignment="1" pivotButton="0" quotePrefix="0" xfId="0">
      <alignment horizontal="center" vertical="center"/>
    </xf>
    <xf numFmtId="166" fontId="4" fillId="5" borderId="1" applyAlignment="1" pivotButton="0" quotePrefix="0" xfId="0">
      <alignment horizontal="center" vertical="center"/>
    </xf>
    <xf numFmtId="0" fontId="4" fillId="6" borderId="1" applyAlignment="1" pivotButton="0" quotePrefix="0" xfId="0">
      <alignment horizontal="center" vertical="center"/>
    </xf>
    <xf numFmtId="166" fontId="4" fillId="6" borderId="1" applyAlignment="1" pivotButton="0" quotePrefix="0" xfId="0">
      <alignment horizontal="center" vertical="center"/>
    </xf>
    <xf numFmtId="0" fontId="0" fillId="5" borderId="1" applyAlignment="1" pivotButton="0" quotePrefix="0" xfId="0">
      <alignment horizontal="center" vertical="center"/>
    </xf>
    <xf numFmtId="0" fontId="3" fillId="5" borderId="1" applyAlignment="1" pivotButton="0" quotePrefix="0" xfId="0">
      <alignment horizontal="center" vertical="center"/>
    </xf>
    <xf numFmtId="3" fontId="0" fillId="5" borderId="1" applyAlignment="1" pivotButton="0" quotePrefix="0" xfId="0">
      <alignment horizontal="center" vertical="center"/>
    </xf>
    <xf numFmtId="166" fontId="0" fillId="5" borderId="1" applyAlignment="1" pivotButton="0" quotePrefix="0" xfId="0">
      <alignment horizontal="center" vertical="center"/>
    </xf>
    <xf numFmtId="167" fontId="0" fillId="5" borderId="1" applyAlignment="1" pivotButton="0" quotePrefix="0" xfId="0">
      <alignment horizontal="center" vertical="center"/>
    </xf>
    <xf numFmtId="0" fontId="0" fillId="6" borderId="1" applyAlignment="1" pivotButton="0" quotePrefix="0" xfId="0">
      <alignment horizontal="center" vertical="center"/>
    </xf>
    <xf numFmtId="0" fontId="3" fillId="6" borderId="1" applyAlignment="1" pivotButton="0" quotePrefix="0" xfId="0">
      <alignment horizontal="center" vertical="center"/>
    </xf>
    <xf numFmtId="3" fontId="0" fillId="6" borderId="1" applyAlignment="1" pivotButton="0" quotePrefix="0" xfId="0">
      <alignment horizontal="center" vertical="center"/>
    </xf>
    <xf numFmtId="166" fontId="0" fillId="6" borderId="1" applyAlignment="1" pivotButton="0" quotePrefix="0" xfId="0">
      <alignment horizontal="center" vertical="center"/>
    </xf>
    <xf numFmtId="167" fontId="0" fillId="6" borderId="1" applyAlignment="1" pivotButton="0" quotePrefix="0" xfId="0">
      <alignment horizontal="center" vertical="center"/>
    </xf>
    <xf numFmtId="0" fontId="12" fillId="2" borderId="1" applyAlignment="1" pivotButton="0" quotePrefix="0" xfId="0">
      <alignment horizontal="center" vertical="center"/>
    </xf>
    <xf numFmtId="3" fontId="12" fillId="2" borderId="1" applyAlignment="1" pivotButton="0" quotePrefix="0" xfId="0">
      <alignment horizontal="center" vertical="center"/>
    </xf>
    <xf numFmtId="166" fontId="12" fillId="2" borderId="1" applyAlignment="1" pivotButton="0" quotePrefix="0" xfId="0">
      <alignment horizontal="center" vertical="center"/>
    </xf>
    <xf numFmtId="167" fontId="12" fillId="2" borderId="1" applyAlignment="1" pivotButton="0" quotePrefix="0" xfId="0">
      <alignment horizontal="center" vertical="center"/>
    </xf>
    <xf numFmtId="168" fontId="0" fillId="4" borderId="1" applyAlignment="1" pivotButton="0" quotePrefix="0" xfId="0">
      <alignment horizontal="center" vertical="center"/>
    </xf>
    <xf numFmtId="0" fontId="0" fillId="4" borderId="1" applyAlignment="1" pivotButton="0" quotePrefix="0" xfId="0">
      <alignment horizontal="center" vertical="center"/>
    </xf>
    <xf numFmtId="0" fontId="13" fillId="0" borderId="0" applyAlignment="1" pivotButton="0" quotePrefix="0" xfId="0">
      <alignment horizontal="center" vertical="center"/>
    </xf>
    <xf numFmtId="2" fontId="0" fillId="5" borderId="1" applyAlignment="1" pivotButton="0" quotePrefix="0" xfId="0">
      <alignment horizontal="center" vertical="center"/>
    </xf>
    <xf numFmtId="2" fontId="0"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D29"/>
  <sheetViews>
    <sheetView rightToLeft="1" workbookViewId="0">
      <selection activeCell="A1" sqref="A1"/>
    </sheetView>
  </sheetViews>
  <sheetFormatPr baseColWidth="8" defaultRowHeight="15"/>
  <cols>
    <col width="4" customWidth="1" min="1" max="1"/>
    <col width="30" customWidth="1" min="2" max="2"/>
    <col width="22" customWidth="1" min="3" max="3"/>
    <col width="26" customWidth="1" min="4" max="4"/>
  </cols>
  <sheetData>
    <row r="1" ht="40" customHeight="1">
      <c r="B1" s="1" t="inlineStr">
        <is>
          <t>Mirror Frame Studio - מחשבון תמחור</t>
        </is>
      </c>
      <c r="C1" s="2" t="n"/>
      <c r="D1" s="2" t="n"/>
    </row>
    <row r="3">
      <c r="B3" s="3" t="inlineStr">
        <is>
          <t>נתוני הזמנה</t>
        </is>
      </c>
      <c r="C3" s="4" t="n"/>
      <c r="D3" s="4" t="n"/>
    </row>
    <row r="5">
      <c r="B5" s="5" t="inlineStr">
        <is>
          <t>רוחב המראה (ס"מ)</t>
        </is>
      </c>
      <c r="C5" s="6" t="n">
        <v>80</v>
      </c>
    </row>
    <row r="6">
      <c r="B6" s="5" t="inlineStr">
        <is>
          <t>גובה המראה (ס"מ)</t>
        </is>
      </c>
      <c r="C6" s="6" t="n">
        <v>160</v>
      </c>
    </row>
    <row r="7">
      <c r="B7" s="5" t="inlineStr">
        <is>
          <t>LED</t>
        </is>
      </c>
      <c r="C7" s="6" t="inlineStr">
        <is>
          <t>כן</t>
        </is>
      </c>
    </row>
    <row r="8">
      <c r="B8" s="5" t="inlineStr">
        <is>
          <t>כמות</t>
        </is>
      </c>
      <c r="C8" s="6" t="n">
        <v>1</v>
      </c>
    </row>
    <row r="10">
      <c r="B10" s="3" t="inlineStr">
        <is>
          <t>פירוט עלויות (לפני מע"מ)</t>
        </is>
      </c>
      <c r="C10" s="4" t="n"/>
      <c r="D10" s="4" t="n"/>
    </row>
    <row r="11">
      <c r="B11" s="7" t="inlineStr">
        <is>
          <t>שטח המראה (מ"ר)</t>
        </is>
      </c>
      <c r="C11" s="8">
        <f>C5*C6/10000</f>
        <v/>
      </c>
    </row>
    <row r="12">
      <c r="B12" s="9" t="inlineStr">
        <is>
          <t>זכוכית מראה 6 מ"מ</t>
        </is>
      </c>
      <c r="C12" s="10">
        <f>C11*197</f>
        <v/>
      </c>
      <c r="D12" s="11" t="inlineStr">
        <is>
          <t>₪197/מ"ר</t>
        </is>
      </c>
    </row>
    <row r="13">
      <c r="B13" s="7" t="inlineStr">
        <is>
          <t>הדפסה דיגיטלית UV</t>
        </is>
      </c>
      <c r="C13" s="12">
        <f>C11*380</f>
        <v/>
      </c>
      <c r="D13" s="11" t="inlineStr">
        <is>
          <t>₪380/מ"ר</t>
        </is>
      </c>
    </row>
    <row r="14">
      <c r="B14" s="9" t="inlineStr">
        <is>
          <t>התזה</t>
        </is>
      </c>
      <c r="C14" s="10">
        <f>C11*100</f>
        <v/>
      </c>
      <c r="D14" s="11" t="inlineStr">
        <is>
          <t>₪100/מ"ר</t>
        </is>
      </c>
    </row>
    <row r="15">
      <c r="B15" s="13" t="inlineStr">
        <is>
          <t>סה"כ מראה מספק</t>
        </is>
      </c>
      <c r="C15" s="14">
        <f>C12+C13+C14</f>
        <v/>
      </c>
      <c r="D15" s="11" t="inlineStr">
        <is>
          <t>₪677/מ"ר</t>
        </is>
      </c>
    </row>
    <row r="16">
      <c r="B16" s="9" t="inlineStr">
        <is>
          <t>עלות LED</t>
        </is>
      </c>
      <c r="C16" s="10">
        <f>IF(C7="כן",30,0)</f>
        <v/>
      </c>
      <c r="D16" s="11" t="inlineStr">
        <is>
          <t>₪30</t>
        </is>
      </c>
    </row>
    <row r="18">
      <c r="B18" s="15" t="inlineStr">
        <is>
          <t>סיכום תמחור</t>
        </is>
      </c>
      <c r="C18" s="2" t="n"/>
      <c r="D18" s="2" t="n"/>
    </row>
    <row r="19">
      <c r="B19" s="16" t="inlineStr">
        <is>
          <t>עלות ייצור ליחידה (לפני מע"מ)</t>
        </is>
      </c>
      <c r="C19" s="17">
        <f>C15+C16</f>
        <v/>
      </c>
    </row>
    <row r="20">
      <c r="B20" s="16" t="inlineStr">
        <is>
          <t>עלות כולל מע"מ</t>
        </is>
      </c>
      <c r="C20" s="17">
        <f>C19*1.18</f>
        <v/>
      </c>
    </row>
    <row r="21">
      <c r="B21" s="18" t="inlineStr">
        <is>
          <t>מחיר מכירה ללקוח + מע"מ</t>
        </is>
      </c>
      <c r="C21" s="19">
        <f>CEILING(C19*2,100)</f>
        <v/>
      </c>
    </row>
    <row r="22">
      <c r="B22" s="16" t="inlineStr">
        <is>
          <t>רווח ליחידה (לפני מע"מ)</t>
        </is>
      </c>
      <c r="C22" s="17">
        <f>C21-C19</f>
        <v/>
      </c>
    </row>
    <row r="23">
      <c r="B23" s="16" t="inlineStr">
        <is>
          <t>סה"כ עלות להזמנה</t>
        </is>
      </c>
      <c r="C23" s="17">
        <f>C20*C8</f>
        <v/>
      </c>
    </row>
    <row r="24">
      <c r="B24" s="16" t="inlineStr">
        <is>
          <t>סה"כ הכנסה מהזמנה</t>
        </is>
      </c>
      <c r="C24" s="17">
        <f>C21*1.18*C8</f>
        <v/>
      </c>
    </row>
    <row r="25">
      <c r="B25" s="18" t="inlineStr">
        <is>
          <t>סה"כ רווח מהזמנה</t>
        </is>
      </c>
      <c r="C25" s="19">
        <f>C24-C23</f>
        <v/>
      </c>
    </row>
    <row r="29">
      <c r="B29" s="20" t="inlineStr">
        <is>
          <t>* מחירי ספק: א.א. מראות (הצעה 23102116, מרץ 2026) | לפני מע"מ</t>
        </is>
      </c>
    </row>
  </sheetData>
  <mergeCells count="5">
    <mergeCell ref="B10:D10"/>
    <mergeCell ref="B3:D3"/>
    <mergeCell ref="B1:D1"/>
    <mergeCell ref="B18:D18"/>
    <mergeCell ref="B29:D29"/>
  </mergeCells>
  <dataValidations count="1">
    <dataValidation sqref="C7" showDropDown="0" showInputMessage="0" showErrorMessage="0" allowBlank="0" type="list">
      <formula1>"כן,לא"</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rightToLeft="1" workbookViewId="0">
      <selection activeCell="A1" sqref="A1"/>
    </sheetView>
  </sheetViews>
  <sheetFormatPr baseColWidth="8" defaultRowHeight="15"/>
  <cols>
    <col width="4" customWidth="1" min="1" max="1"/>
    <col width="18" customWidth="1" min="2" max="2"/>
    <col width="16" customWidth="1" min="3" max="3"/>
    <col width="14" customWidth="1" min="4" max="4"/>
    <col width="16" customWidth="1" min="5" max="5"/>
    <col width="32" customWidth="1" min="6" max="6"/>
  </cols>
  <sheetData>
    <row r="1" ht="40" customHeight="1">
      <c r="B1" s="1" t="inlineStr">
        <is>
          <t>Mirror Frame Studio - מחירון</t>
        </is>
      </c>
      <c r="C1" s="2" t="n"/>
      <c r="D1" s="2" t="n"/>
      <c r="E1" s="2" t="n"/>
      <c r="F1" s="2" t="n"/>
    </row>
    <row r="3" ht="30" customHeight="1">
      <c r="A3" s="21" t="inlineStr"/>
      <c r="B3" s="21" t="inlineStr">
        <is>
          <t>גודל</t>
        </is>
      </c>
      <c r="C3" s="21" t="inlineStr">
        <is>
          <t>מידות (ס"מ)</t>
        </is>
      </c>
      <c r="D3" s="21" t="inlineStr">
        <is>
          <t>שטח (מ"ר)</t>
        </is>
      </c>
      <c r="E3" s="21" t="inlineStr">
        <is>
          <t>עלות מספק</t>
        </is>
      </c>
      <c r="F3" s="21" t="inlineStr">
        <is>
          <t>מחיר ללקוח + מע"מ</t>
        </is>
      </c>
    </row>
    <row r="4">
      <c r="A4" s="22" t="n"/>
      <c r="B4" s="22" t="inlineStr">
        <is>
          <t>קטן</t>
        </is>
      </c>
      <c r="C4" s="22" t="inlineStr">
        <is>
          <t>40x60</t>
        </is>
      </c>
      <c r="D4" s="22" t="n">
        <v>0.24</v>
      </c>
      <c r="E4" s="23" t="n">
        <v>192</v>
      </c>
      <c r="F4" s="22" t="inlineStr">
        <is>
          <t>₪400 + מע"מ = ₪472</t>
        </is>
      </c>
    </row>
    <row r="5">
      <c r="A5" s="24" t="n"/>
      <c r="B5" s="24" t="inlineStr">
        <is>
          <t>בינוני</t>
        </is>
      </c>
      <c r="C5" s="24" t="inlineStr">
        <is>
          <t>60x80</t>
        </is>
      </c>
      <c r="D5" s="24" t="n">
        <v>0.48</v>
      </c>
      <c r="E5" s="25" t="n">
        <v>355</v>
      </c>
      <c r="F5" s="24" t="inlineStr">
        <is>
          <t>₪800 + מע"מ = ₪944</t>
        </is>
      </c>
    </row>
    <row r="6">
      <c r="A6" s="22" t="n"/>
      <c r="B6" s="22" t="inlineStr">
        <is>
          <t>גדול</t>
        </is>
      </c>
      <c r="C6" s="22" t="inlineStr">
        <is>
          <t>80x120</t>
        </is>
      </c>
      <c r="D6" s="22" t="n">
        <v>0.96</v>
      </c>
      <c r="E6" s="23" t="n">
        <v>680</v>
      </c>
      <c r="F6" s="22" t="inlineStr">
        <is>
          <t>₪1,400 + מע"מ = ₪1,652</t>
        </is>
      </c>
    </row>
    <row r="7">
      <c r="A7" s="24" t="n"/>
      <c r="B7" s="24" t="inlineStr">
        <is>
          <t>80x160</t>
        </is>
      </c>
      <c r="C7" s="24" t="inlineStr">
        <is>
          <t>80x160</t>
        </is>
      </c>
      <c r="D7" s="24" t="n">
        <v>1.28</v>
      </c>
      <c r="E7" s="25" t="n">
        <v>897</v>
      </c>
      <c r="F7" s="24" t="inlineStr">
        <is>
          <t>₪1,800 + מע"מ = ₪2,124</t>
        </is>
      </c>
    </row>
    <row r="8">
      <c r="A8" s="22" t="n"/>
      <c r="B8" s="22" t="inlineStr">
        <is>
          <t>XL</t>
        </is>
      </c>
      <c r="C8" s="22" t="inlineStr">
        <is>
          <t>100x150</t>
        </is>
      </c>
      <c r="D8" s="22" t="n">
        <v>1.5</v>
      </c>
      <c r="E8" s="23" t="n">
        <v>1046</v>
      </c>
      <c r="F8" s="22" t="inlineStr">
        <is>
          <t>₪2,100 + מע"מ = ₪2,478</t>
        </is>
      </c>
    </row>
    <row r="10">
      <c r="B10" s="20" t="inlineStr">
        <is>
          <t>* ספק: א.א. מראות ₪677/מ"ר | LED: עלות ₪30 | מע"מ 18% | מכירה: x2 מעלות כולל מע"מ | מרץ 2026</t>
        </is>
      </c>
    </row>
  </sheetData>
  <mergeCells count="2">
    <mergeCell ref="B10:F10"/>
    <mergeCell ref="B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rightToLeft="1" workbookViewId="0">
      <selection activeCell="A1" sqref="A1"/>
    </sheetView>
  </sheetViews>
  <sheetFormatPr baseColWidth="8" defaultRowHeight="15"/>
  <cols>
    <col width="4" customWidth="1" min="1" max="1"/>
    <col width="18" customWidth="1" min="2" max="2"/>
    <col width="16" customWidth="1" min="3" max="3"/>
    <col width="18" customWidth="1" min="4" max="4"/>
    <col width="18" customWidth="1" min="5" max="5"/>
    <col width="18" customWidth="1" min="6" max="6"/>
    <col width="16" customWidth="1" min="7" max="7"/>
  </cols>
  <sheetData>
    <row r="1" ht="40" customHeight="1">
      <c r="B1" s="1" t="inlineStr">
        <is>
          <t>Mirror Frame Studio - סיכום חודשי 2026</t>
        </is>
      </c>
      <c r="C1" s="2" t="n"/>
      <c r="D1" s="2" t="n"/>
      <c r="E1" s="2" t="n"/>
      <c r="F1" s="2" t="n"/>
      <c r="G1" s="2" t="n"/>
    </row>
    <row r="3" ht="30" customHeight="1">
      <c r="A3" s="21" t="inlineStr"/>
      <c r="B3" s="21" t="inlineStr">
        <is>
          <t>חודש</t>
        </is>
      </c>
      <c r="C3" s="21" t="inlineStr">
        <is>
          <t>מספר הזמנות</t>
        </is>
      </c>
      <c r="D3" s="21" t="inlineStr">
        <is>
          <t>סה"כ הכנסות</t>
        </is>
      </c>
      <c r="E3" s="21" t="inlineStr">
        <is>
          <t>סה"כ עלויות</t>
        </is>
      </c>
      <c r="F3" s="21" t="inlineStr">
        <is>
          <t>רווח</t>
        </is>
      </c>
      <c r="G3" s="21" t="inlineStr">
        <is>
          <t>אחוז רווח</t>
        </is>
      </c>
    </row>
    <row r="4">
      <c r="A4" s="26" t="n"/>
      <c r="B4" s="27" t="inlineStr">
        <is>
          <t>ינואר</t>
        </is>
      </c>
      <c r="C4" s="28" t="n"/>
      <c r="D4" s="29" t="n"/>
      <c r="E4" s="29" t="n"/>
      <c r="F4" s="29">
        <f>IF(AND(D4&lt;&gt;"",E4&lt;&gt;""),D4-E4,"")</f>
        <v/>
      </c>
      <c r="G4" s="30">
        <f>IF(AND(D4&lt;&gt;"",D4&lt;&gt;0),F4/D4,"")</f>
        <v/>
      </c>
    </row>
    <row r="5">
      <c r="A5" s="31" t="n"/>
      <c r="B5" s="32" t="inlineStr">
        <is>
          <t>פברואר</t>
        </is>
      </c>
      <c r="C5" s="33" t="n"/>
      <c r="D5" s="34" t="n"/>
      <c r="E5" s="34" t="n"/>
      <c r="F5" s="34">
        <f>IF(AND(D5&lt;&gt;"",E5&lt;&gt;""),D5-E5,"")</f>
        <v/>
      </c>
      <c r="G5" s="35">
        <f>IF(AND(D5&lt;&gt;"",D5&lt;&gt;0),F5/D5,"")</f>
        <v/>
      </c>
    </row>
    <row r="6">
      <c r="A6" s="26" t="n"/>
      <c r="B6" s="27" t="inlineStr">
        <is>
          <t>מרץ</t>
        </is>
      </c>
      <c r="C6" s="28" t="n"/>
      <c r="D6" s="29" t="n"/>
      <c r="E6" s="29" t="n"/>
      <c r="F6" s="29">
        <f>IF(AND(D6&lt;&gt;"",E6&lt;&gt;""),D6-E6,"")</f>
        <v/>
      </c>
      <c r="G6" s="30">
        <f>IF(AND(D6&lt;&gt;"",D6&lt;&gt;0),F6/D6,"")</f>
        <v/>
      </c>
    </row>
    <row r="7">
      <c r="A7" s="31" t="n"/>
      <c r="B7" s="32" t="inlineStr">
        <is>
          <t>אפריל</t>
        </is>
      </c>
      <c r="C7" s="33" t="n"/>
      <c r="D7" s="34" t="n"/>
      <c r="E7" s="34" t="n"/>
      <c r="F7" s="34">
        <f>IF(AND(D7&lt;&gt;"",E7&lt;&gt;""),D7-E7,"")</f>
        <v/>
      </c>
      <c r="G7" s="35">
        <f>IF(AND(D7&lt;&gt;"",D7&lt;&gt;0),F7/D7,"")</f>
        <v/>
      </c>
    </row>
    <row r="8">
      <c r="A8" s="26" t="n"/>
      <c r="B8" s="27" t="inlineStr">
        <is>
          <t>מאי</t>
        </is>
      </c>
      <c r="C8" s="28" t="n"/>
      <c r="D8" s="29" t="n"/>
      <c r="E8" s="29" t="n"/>
      <c r="F8" s="29">
        <f>IF(AND(D8&lt;&gt;"",E8&lt;&gt;""),D8-E8,"")</f>
        <v/>
      </c>
      <c r="G8" s="30">
        <f>IF(AND(D8&lt;&gt;"",D8&lt;&gt;0),F8/D8,"")</f>
        <v/>
      </c>
    </row>
    <row r="9">
      <c r="A9" s="31" t="n"/>
      <c r="B9" s="32" t="inlineStr">
        <is>
          <t>יוני</t>
        </is>
      </c>
      <c r="C9" s="33" t="n"/>
      <c r="D9" s="34" t="n"/>
      <c r="E9" s="34" t="n"/>
      <c r="F9" s="34">
        <f>IF(AND(D9&lt;&gt;"",E9&lt;&gt;""),D9-E9,"")</f>
        <v/>
      </c>
      <c r="G9" s="35">
        <f>IF(AND(D9&lt;&gt;"",D9&lt;&gt;0),F9/D9,"")</f>
        <v/>
      </c>
    </row>
    <row r="10">
      <c r="A10" s="26" t="n"/>
      <c r="B10" s="27" t="inlineStr">
        <is>
          <t>יולי</t>
        </is>
      </c>
      <c r="C10" s="28" t="n"/>
      <c r="D10" s="29" t="n"/>
      <c r="E10" s="29" t="n"/>
      <c r="F10" s="29">
        <f>IF(AND(D10&lt;&gt;"",E10&lt;&gt;""),D10-E10,"")</f>
        <v/>
      </c>
      <c r="G10" s="30">
        <f>IF(AND(D10&lt;&gt;"",D10&lt;&gt;0),F10/D10,"")</f>
        <v/>
      </c>
    </row>
    <row r="11">
      <c r="A11" s="31" t="n"/>
      <c r="B11" s="32" t="inlineStr">
        <is>
          <t>אוגוסט</t>
        </is>
      </c>
      <c r="C11" s="33" t="n"/>
      <c r="D11" s="34" t="n"/>
      <c r="E11" s="34" t="n"/>
      <c r="F11" s="34">
        <f>IF(AND(D11&lt;&gt;"",E11&lt;&gt;""),D11-E11,"")</f>
        <v/>
      </c>
      <c r="G11" s="35">
        <f>IF(AND(D11&lt;&gt;"",D11&lt;&gt;0),F11/D11,"")</f>
        <v/>
      </c>
    </row>
    <row r="12">
      <c r="A12" s="26" t="n"/>
      <c r="B12" s="27" t="inlineStr">
        <is>
          <t>ספטמבר</t>
        </is>
      </c>
      <c r="C12" s="28" t="n"/>
      <c r="D12" s="29" t="n"/>
      <c r="E12" s="29" t="n"/>
      <c r="F12" s="29">
        <f>IF(AND(D12&lt;&gt;"",E12&lt;&gt;""),D12-E12,"")</f>
        <v/>
      </c>
      <c r="G12" s="30">
        <f>IF(AND(D12&lt;&gt;"",D12&lt;&gt;0),F12/D12,"")</f>
        <v/>
      </c>
    </row>
    <row r="13">
      <c r="A13" s="31" t="n"/>
      <c r="B13" s="32" t="inlineStr">
        <is>
          <t>אוקטובר</t>
        </is>
      </c>
      <c r="C13" s="33" t="n"/>
      <c r="D13" s="34" t="n"/>
      <c r="E13" s="34" t="n"/>
      <c r="F13" s="34">
        <f>IF(AND(D13&lt;&gt;"",E13&lt;&gt;""),D13-E13,"")</f>
        <v/>
      </c>
      <c r="G13" s="35">
        <f>IF(AND(D13&lt;&gt;"",D13&lt;&gt;0),F13/D13,"")</f>
        <v/>
      </c>
    </row>
    <row r="14">
      <c r="A14" s="26" t="n"/>
      <c r="B14" s="27" t="inlineStr">
        <is>
          <t>נובמבר</t>
        </is>
      </c>
      <c r="C14" s="28" t="n"/>
      <c r="D14" s="29" t="n"/>
      <c r="E14" s="29" t="n"/>
      <c r="F14" s="29">
        <f>IF(AND(D14&lt;&gt;"",E14&lt;&gt;""),D14-E14,"")</f>
        <v/>
      </c>
      <c r="G14" s="30">
        <f>IF(AND(D14&lt;&gt;"",D14&lt;&gt;0),F14/D14,"")</f>
        <v/>
      </c>
    </row>
    <row r="15">
      <c r="A15" s="31" t="n"/>
      <c r="B15" s="32" t="inlineStr">
        <is>
          <t>דצמבר</t>
        </is>
      </c>
      <c r="C15" s="33" t="n"/>
      <c r="D15" s="34" t="n"/>
      <c r="E15" s="34" t="n"/>
      <c r="F15" s="34">
        <f>IF(AND(D15&lt;&gt;"",E15&lt;&gt;""),D15-E15,"")</f>
        <v/>
      </c>
      <c r="G15" s="35">
        <f>IF(AND(D15&lt;&gt;"",D15&lt;&gt;0),F15/D15,"")</f>
        <v/>
      </c>
    </row>
    <row r="16">
      <c r="A16" s="36" t="n"/>
      <c r="B16" s="36" t="inlineStr">
        <is>
          <t>סה"כ</t>
        </is>
      </c>
      <c r="C16" s="37">
        <f>SUM(C4:C15)</f>
        <v/>
      </c>
      <c r="D16" s="38">
        <f>SUM(D4:D15)</f>
        <v/>
      </c>
      <c r="E16" s="38">
        <f>SUM(E4:E15)</f>
        <v/>
      </c>
      <c r="F16" s="38">
        <f>SUM(F4:F15)</f>
        <v/>
      </c>
      <c r="G16" s="39">
        <f>IF(AND(D16&lt;&gt;"",D16&lt;&gt;0),F16/D16,"")</f>
        <v/>
      </c>
    </row>
  </sheetData>
  <mergeCells count="1">
    <mergeCell ref="B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3"/>
  <sheetViews>
    <sheetView rightToLeft="1" workbookViewId="0">
      <selection activeCell="A1" sqref="A1"/>
    </sheetView>
  </sheetViews>
  <sheetFormatPr baseColWidth="8" defaultRowHeight="15"/>
  <cols>
    <col width="6" customWidth="1" min="1" max="1"/>
    <col width="14" customWidth="1" min="2" max="2"/>
    <col width="20" customWidth="1" min="3" max="3"/>
    <col width="12" customWidth="1" min="4" max="4"/>
    <col width="12" customWidth="1" min="5" max="5"/>
    <col width="8" customWidth="1" min="6" max="6"/>
    <col width="16" customWidth="1" min="7" max="7"/>
    <col width="20" customWidth="1" min="8" max="8"/>
    <col width="14" customWidth="1" min="9" max="9"/>
  </cols>
  <sheetData>
    <row r="1" ht="40" customHeight="1">
      <c r="A1" s="1" t="inlineStr">
        <is>
          <t>Mirror Frame Studio - מעקב הזמנות</t>
        </is>
      </c>
      <c r="B1" s="2" t="n"/>
      <c r="C1" s="2" t="n"/>
      <c r="D1" s="2" t="n"/>
      <c r="E1" s="2" t="n"/>
      <c r="F1" s="2" t="n"/>
      <c r="G1" s="2" t="n"/>
      <c r="H1" s="2" t="n"/>
      <c r="I1" s="2" t="n"/>
    </row>
    <row r="3" ht="30" customHeight="1">
      <c r="A3" s="21" t="inlineStr">
        <is>
          <t>#</t>
        </is>
      </c>
      <c r="B3" s="21" t="inlineStr">
        <is>
          <t>תאריך</t>
        </is>
      </c>
      <c r="C3" s="21" t="inlineStr">
        <is>
          <t>שם לקוח</t>
        </is>
      </c>
      <c r="D3" s="21" t="inlineStr">
        <is>
          <t>רוחב</t>
        </is>
      </c>
      <c r="E3" s="21" t="inlineStr">
        <is>
          <t>גובה</t>
        </is>
      </c>
      <c r="F3" s="21" t="inlineStr">
        <is>
          <t>LED</t>
        </is>
      </c>
      <c r="G3" s="21" t="inlineStr">
        <is>
          <t>עלות שלי</t>
        </is>
      </c>
      <c r="H3" s="21" t="inlineStr">
        <is>
          <t>מחיר ללקוח + מע"מ</t>
        </is>
      </c>
      <c r="I3" s="21" t="inlineStr">
        <is>
          <t>סטטוס</t>
        </is>
      </c>
    </row>
    <row r="4">
      <c r="A4" s="22" t="n">
        <v>1</v>
      </c>
      <c r="B4" s="40" t="n"/>
      <c r="C4" s="41" t="n"/>
      <c r="D4" s="41" t="n"/>
      <c r="E4" s="41" t="n"/>
      <c r="F4" s="41" t="n"/>
      <c r="G4" s="29">
        <f>IF(AND(D4&lt;&gt;"",E4&lt;&gt;""),D4*E4/10000*677+IF(F4="כן",30,0),"")</f>
        <v/>
      </c>
      <c r="H4" s="26">
        <f>IF(G4&lt;&gt;"",CEILING(G4*2,100)&amp;" + מע""מ","")</f>
        <v/>
      </c>
      <c r="I4" s="41" t="n"/>
    </row>
    <row r="5">
      <c r="A5" s="24" t="n">
        <v>2</v>
      </c>
      <c r="B5" s="40" t="n"/>
      <c r="C5" s="41" t="n"/>
      <c r="D5" s="41" t="n"/>
      <c r="E5" s="41" t="n"/>
      <c r="F5" s="41" t="n"/>
      <c r="G5" s="34">
        <f>IF(AND(D5&lt;&gt;"",E5&lt;&gt;""),D5*E5/10000*677+IF(F5="כן",30,0),"")</f>
        <v/>
      </c>
      <c r="H5" s="31">
        <f>IF(G5&lt;&gt;"",CEILING(G5*2,100)&amp;" + מע""מ","")</f>
        <v/>
      </c>
      <c r="I5" s="41" t="n"/>
    </row>
    <row r="6">
      <c r="A6" s="22" t="n">
        <v>3</v>
      </c>
      <c r="B6" s="40" t="n"/>
      <c r="C6" s="41" t="n"/>
      <c r="D6" s="41" t="n"/>
      <c r="E6" s="41" t="n"/>
      <c r="F6" s="41" t="n"/>
      <c r="G6" s="29">
        <f>IF(AND(D6&lt;&gt;"",E6&lt;&gt;""),D6*E6/10000*677+IF(F6="כן",30,0),"")</f>
        <v/>
      </c>
      <c r="H6" s="26">
        <f>IF(G6&lt;&gt;"",CEILING(G6*2,100)&amp;" + מע""מ","")</f>
        <v/>
      </c>
      <c r="I6" s="41" t="n"/>
    </row>
    <row r="7">
      <c r="A7" s="24" t="n">
        <v>4</v>
      </c>
      <c r="B7" s="40" t="n"/>
      <c r="C7" s="41" t="n"/>
      <c r="D7" s="41" t="n"/>
      <c r="E7" s="41" t="n"/>
      <c r="F7" s="41" t="n"/>
      <c r="G7" s="34">
        <f>IF(AND(D7&lt;&gt;"",E7&lt;&gt;""),D7*E7/10000*677+IF(F7="כן",30,0),"")</f>
        <v/>
      </c>
      <c r="H7" s="31">
        <f>IF(G7&lt;&gt;"",CEILING(G7*2,100)&amp;" + מע""מ","")</f>
        <v/>
      </c>
      <c r="I7" s="41" t="n"/>
    </row>
    <row r="8">
      <c r="A8" s="22" t="n">
        <v>5</v>
      </c>
      <c r="B8" s="40" t="n"/>
      <c r="C8" s="41" t="n"/>
      <c r="D8" s="41" t="n"/>
      <c r="E8" s="41" t="n"/>
      <c r="F8" s="41" t="n"/>
      <c r="G8" s="29">
        <f>IF(AND(D8&lt;&gt;"",E8&lt;&gt;""),D8*E8/10000*677+IF(F8="כן",30,0),"")</f>
        <v/>
      </c>
      <c r="H8" s="26">
        <f>IF(G8&lt;&gt;"",CEILING(G8*2,100)&amp;" + מע""מ","")</f>
        <v/>
      </c>
      <c r="I8" s="41" t="n"/>
    </row>
    <row r="9">
      <c r="A9" s="24" t="n">
        <v>6</v>
      </c>
      <c r="B9" s="40" t="n"/>
      <c r="C9" s="41" t="n"/>
      <c r="D9" s="41" t="n"/>
      <c r="E9" s="41" t="n"/>
      <c r="F9" s="41" t="n"/>
      <c r="G9" s="34">
        <f>IF(AND(D9&lt;&gt;"",E9&lt;&gt;""),D9*E9/10000*677+IF(F9="כן",30,0),"")</f>
        <v/>
      </c>
      <c r="H9" s="31">
        <f>IF(G9&lt;&gt;"",CEILING(G9*2,100)&amp;" + מע""מ","")</f>
        <v/>
      </c>
      <c r="I9" s="41" t="n"/>
    </row>
    <row r="10">
      <c r="A10" s="22" t="n">
        <v>7</v>
      </c>
      <c r="B10" s="40" t="n"/>
      <c r="C10" s="41" t="n"/>
      <c r="D10" s="41" t="n"/>
      <c r="E10" s="41" t="n"/>
      <c r="F10" s="41" t="n"/>
      <c r="G10" s="29">
        <f>IF(AND(D10&lt;&gt;"",E10&lt;&gt;""),D10*E10/10000*677+IF(F10="כן",30,0),"")</f>
        <v/>
      </c>
      <c r="H10" s="26">
        <f>IF(G10&lt;&gt;"",CEILING(G10*2,100)&amp;" + מע""מ","")</f>
        <v/>
      </c>
      <c r="I10" s="41" t="n"/>
    </row>
    <row r="11">
      <c r="A11" s="24" t="n">
        <v>8</v>
      </c>
      <c r="B11" s="40" t="n"/>
      <c r="C11" s="41" t="n"/>
      <c r="D11" s="41" t="n"/>
      <c r="E11" s="41" t="n"/>
      <c r="F11" s="41" t="n"/>
      <c r="G11" s="34">
        <f>IF(AND(D11&lt;&gt;"",E11&lt;&gt;""),D11*E11/10000*677+IF(F11="כן",30,0),"")</f>
        <v/>
      </c>
      <c r="H11" s="31">
        <f>IF(G11&lt;&gt;"",CEILING(G11*2,100)&amp;" + מע""מ","")</f>
        <v/>
      </c>
      <c r="I11" s="41" t="n"/>
    </row>
    <row r="12">
      <c r="A12" s="22" t="n">
        <v>9</v>
      </c>
      <c r="B12" s="40" t="n"/>
      <c r="C12" s="41" t="n"/>
      <c r="D12" s="41" t="n"/>
      <c r="E12" s="41" t="n"/>
      <c r="F12" s="41" t="n"/>
      <c r="G12" s="29">
        <f>IF(AND(D12&lt;&gt;"",E12&lt;&gt;""),D12*E12/10000*677+IF(F12="כן",30,0),"")</f>
        <v/>
      </c>
      <c r="H12" s="26">
        <f>IF(G12&lt;&gt;"",CEILING(G12*2,100)&amp;" + מע""מ","")</f>
        <v/>
      </c>
      <c r="I12" s="41" t="n"/>
    </row>
    <row r="13">
      <c r="A13" s="24" t="n">
        <v>10</v>
      </c>
      <c r="B13" s="40" t="n"/>
      <c r="C13" s="41" t="n"/>
      <c r="D13" s="41" t="n"/>
      <c r="E13" s="41" t="n"/>
      <c r="F13" s="41" t="n"/>
      <c r="G13" s="34">
        <f>IF(AND(D13&lt;&gt;"",E13&lt;&gt;""),D13*E13/10000*677+IF(F13="כן",30,0),"")</f>
        <v/>
      </c>
      <c r="H13" s="31">
        <f>IF(G13&lt;&gt;"",CEILING(G13*2,100)&amp;" + מע""מ","")</f>
        <v/>
      </c>
      <c r="I13" s="41" t="n"/>
    </row>
    <row r="14">
      <c r="A14" s="22" t="n">
        <v>11</v>
      </c>
      <c r="B14" s="40" t="n"/>
      <c r="C14" s="41" t="n"/>
      <c r="D14" s="41" t="n"/>
      <c r="E14" s="41" t="n"/>
      <c r="F14" s="41" t="n"/>
      <c r="G14" s="29">
        <f>IF(AND(D14&lt;&gt;"",E14&lt;&gt;""),D14*E14/10000*677+IF(F14="כן",30,0),"")</f>
        <v/>
      </c>
      <c r="H14" s="26">
        <f>IF(G14&lt;&gt;"",CEILING(G14*2,100)&amp;" + מע""מ","")</f>
        <v/>
      </c>
      <c r="I14" s="41" t="n"/>
    </row>
    <row r="15">
      <c r="A15" s="24" t="n">
        <v>12</v>
      </c>
      <c r="B15" s="40" t="n"/>
      <c r="C15" s="41" t="n"/>
      <c r="D15" s="41" t="n"/>
      <c r="E15" s="41" t="n"/>
      <c r="F15" s="41" t="n"/>
      <c r="G15" s="34">
        <f>IF(AND(D15&lt;&gt;"",E15&lt;&gt;""),D15*E15/10000*677+IF(F15="כן",30,0),"")</f>
        <v/>
      </c>
      <c r="H15" s="31">
        <f>IF(G15&lt;&gt;"",CEILING(G15*2,100)&amp;" + מע""מ","")</f>
        <v/>
      </c>
      <c r="I15" s="41" t="n"/>
    </row>
    <row r="16">
      <c r="A16" s="22" t="n">
        <v>13</v>
      </c>
      <c r="B16" s="40" t="n"/>
      <c r="C16" s="41" t="n"/>
      <c r="D16" s="41" t="n"/>
      <c r="E16" s="41" t="n"/>
      <c r="F16" s="41" t="n"/>
      <c r="G16" s="29">
        <f>IF(AND(D16&lt;&gt;"",E16&lt;&gt;""),D16*E16/10000*677+IF(F16="כן",30,0),"")</f>
        <v/>
      </c>
      <c r="H16" s="26">
        <f>IF(G16&lt;&gt;"",CEILING(G16*2,100)&amp;" + מע""מ","")</f>
        <v/>
      </c>
      <c r="I16" s="41" t="n"/>
    </row>
    <row r="17">
      <c r="A17" s="24" t="n">
        <v>14</v>
      </c>
      <c r="B17" s="40" t="n"/>
      <c r="C17" s="41" t="n"/>
      <c r="D17" s="41" t="n"/>
      <c r="E17" s="41" t="n"/>
      <c r="F17" s="41" t="n"/>
      <c r="G17" s="34">
        <f>IF(AND(D17&lt;&gt;"",E17&lt;&gt;""),D17*E17/10000*677+IF(F17="כן",30,0),"")</f>
        <v/>
      </c>
      <c r="H17" s="31">
        <f>IF(G17&lt;&gt;"",CEILING(G17*2,100)&amp;" + מע""מ","")</f>
        <v/>
      </c>
      <c r="I17" s="41" t="n"/>
    </row>
    <row r="18">
      <c r="A18" s="22" t="n">
        <v>15</v>
      </c>
      <c r="B18" s="40" t="n"/>
      <c r="C18" s="41" t="n"/>
      <c r="D18" s="41" t="n"/>
      <c r="E18" s="41" t="n"/>
      <c r="F18" s="41" t="n"/>
      <c r="G18" s="29">
        <f>IF(AND(D18&lt;&gt;"",E18&lt;&gt;""),D18*E18/10000*677+IF(F18="כן",30,0),"")</f>
        <v/>
      </c>
      <c r="H18" s="26">
        <f>IF(G18&lt;&gt;"",CEILING(G18*2,100)&amp;" + מע""מ","")</f>
        <v/>
      </c>
      <c r="I18" s="41" t="n"/>
    </row>
    <row r="19">
      <c r="A19" s="24" t="n">
        <v>16</v>
      </c>
      <c r="B19" s="40" t="n"/>
      <c r="C19" s="41" t="n"/>
      <c r="D19" s="41" t="n"/>
      <c r="E19" s="41" t="n"/>
      <c r="F19" s="41" t="n"/>
      <c r="G19" s="34">
        <f>IF(AND(D19&lt;&gt;"",E19&lt;&gt;""),D19*E19/10000*677+IF(F19="כן",30,0),"")</f>
        <v/>
      </c>
      <c r="H19" s="31">
        <f>IF(G19&lt;&gt;"",CEILING(G19*2,100)&amp;" + מע""מ","")</f>
        <v/>
      </c>
      <c r="I19" s="41" t="n"/>
    </row>
    <row r="20">
      <c r="A20" s="22" t="n">
        <v>17</v>
      </c>
      <c r="B20" s="40" t="n"/>
      <c r="C20" s="41" t="n"/>
      <c r="D20" s="41" t="n"/>
      <c r="E20" s="41" t="n"/>
      <c r="F20" s="41" t="n"/>
      <c r="G20" s="29">
        <f>IF(AND(D20&lt;&gt;"",E20&lt;&gt;""),D20*E20/10000*677+IF(F20="כן",30,0),"")</f>
        <v/>
      </c>
      <c r="H20" s="26">
        <f>IF(G20&lt;&gt;"",CEILING(G20*2,100)&amp;" + מע""מ","")</f>
        <v/>
      </c>
      <c r="I20" s="41" t="n"/>
    </row>
    <row r="21">
      <c r="A21" s="24" t="n">
        <v>18</v>
      </c>
      <c r="B21" s="40" t="n"/>
      <c r="C21" s="41" t="n"/>
      <c r="D21" s="41" t="n"/>
      <c r="E21" s="41" t="n"/>
      <c r="F21" s="41" t="n"/>
      <c r="G21" s="34">
        <f>IF(AND(D21&lt;&gt;"",E21&lt;&gt;""),D21*E21/10000*677+IF(F21="כן",30,0),"")</f>
        <v/>
      </c>
      <c r="H21" s="31">
        <f>IF(G21&lt;&gt;"",CEILING(G21*2,100)&amp;" + מע""מ","")</f>
        <v/>
      </c>
      <c r="I21" s="41" t="n"/>
    </row>
    <row r="22">
      <c r="A22" s="22" t="n">
        <v>19</v>
      </c>
      <c r="B22" s="40" t="n"/>
      <c r="C22" s="41" t="n"/>
      <c r="D22" s="41" t="n"/>
      <c r="E22" s="41" t="n"/>
      <c r="F22" s="41" t="n"/>
      <c r="G22" s="29">
        <f>IF(AND(D22&lt;&gt;"",E22&lt;&gt;""),D22*E22/10000*677+IF(F22="כן",30,0),"")</f>
        <v/>
      </c>
      <c r="H22" s="26">
        <f>IF(G22&lt;&gt;"",CEILING(G22*2,100)&amp;" + מע""מ","")</f>
        <v/>
      </c>
      <c r="I22" s="41" t="n"/>
    </row>
    <row r="23">
      <c r="A23" s="24" t="n">
        <v>20</v>
      </c>
      <c r="B23" s="40" t="n"/>
      <c r="C23" s="41" t="n"/>
      <c r="D23" s="41" t="n"/>
      <c r="E23" s="41" t="n"/>
      <c r="F23" s="41" t="n"/>
      <c r="G23" s="34">
        <f>IF(AND(D23&lt;&gt;"",E23&lt;&gt;""),D23*E23/10000*677+IF(F23="כן",30,0),"")</f>
        <v/>
      </c>
      <c r="H23" s="31">
        <f>IF(G23&lt;&gt;"",CEILING(G23*2,100)&amp;" + מע""מ","")</f>
        <v/>
      </c>
      <c r="I23" s="41" t="n"/>
    </row>
    <row r="24">
      <c r="A24" s="22" t="n">
        <v>21</v>
      </c>
      <c r="B24" s="40" t="n"/>
      <c r="C24" s="41" t="n"/>
      <c r="D24" s="41" t="n"/>
      <c r="E24" s="41" t="n"/>
      <c r="F24" s="41" t="n"/>
      <c r="G24" s="29">
        <f>IF(AND(D24&lt;&gt;"",E24&lt;&gt;""),D24*E24/10000*677+IF(F24="כן",30,0),"")</f>
        <v/>
      </c>
      <c r="H24" s="26">
        <f>IF(G24&lt;&gt;"",CEILING(G24*2,100)&amp;" + מע""מ","")</f>
        <v/>
      </c>
      <c r="I24" s="41" t="n"/>
    </row>
    <row r="25">
      <c r="A25" s="24" t="n">
        <v>22</v>
      </c>
      <c r="B25" s="40" t="n"/>
      <c r="C25" s="41" t="n"/>
      <c r="D25" s="41" t="n"/>
      <c r="E25" s="41" t="n"/>
      <c r="F25" s="41" t="n"/>
      <c r="G25" s="34">
        <f>IF(AND(D25&lt;&gt;"",E25&lt;&gt;""),D25*E25/10000*677+IF(F25="כן",30,0),"")</f>
        <v/>
      </c>
      <c r="H25" s="31">
        <f>IF(G25&lt;&gt;"",CEILING(G25*2,100)&amp;" + מע""מ","")</f>
        <v/>
      </c>
      <c r="I25" s="41" t="n"/>
    </row>
    <row r="26">
      <c r="A26" s="22" t="n">
        <v>23</v>
      </c>
      <c r="B26" s="40" t="n"/>
      <c r="C26" s="41" t="n"/>
      <c r="D26" s="41" t="n"/>
      <c r="E26" s="41" t="n"/>
      <c r="F26" s="41" t="n"/>
      <c r="G26" s="29">
        <f>IF(AND(D26&lt;&gt;"",E26&lt;&gt;""),D26*E26/10000*677+IF(F26="כן",30,0),"")</f>
        <v/>
      </c>
      <c r="H26" s="26">
        <f>IF(G26&lt;&gt;"",CEILING(G26*2,100)&amp;" + מע""מ","")</f>
        <v/>
      </c>
      <c r="I26" s="41" t="n"/>
    </row>
    <row r="27">
      <c r="A27" s="24" t="n">
        <v>24</v>
      </c>
      <c r="B27" s="40" t="n"/>
      <c r="C27" s="41" t="n"/>
      <c r="D27" s="41" t="n"/>
      <c r="E27" s="41" t="n"/>
      <c r="F27" s="41" t="n"/>
      <c r="G27" s="34">
        <f>IF(AND(D27&lt;&gt;"",E27&lt;&gt;""),D27*E27/10000*677+IF(F27="כן",30,0),"")</f>
        <v/>
      </c>
      <c r="H27" s="31">
        <f>IF(G27&lt;&gt;"",CEILING(G27*2,100)&amp;" + מע""מ","")</f>
        <v/>
      </c>
      <c r="I27" s="41" t="n"/>
    </row>
    <row r="28">
      <c r="A28" s="22" t="n">
        <v>25</v>
      </c>
      <c r="B28" s="40" t="n"/>
      <c r="C28" s="41" t="n"/>
      <c r="D28" s="41" t="n"/>
      <c r="E28" s="41" t="n"/>
      <c r="F28" s="41" t="n"/>
      <c r="G28" s="29">
        <f>IF(AND(D28&lt;&gt;"",E28&lt;&gt;""),D28*E28/10000*677+IF(F28="כן",30,0),"")</f>
        <v/>
      </c>
      <c r="H28" s="26">
        <f>IF(G28&lt;&gt;"",CEILING(G28*2,100)&amp;" + מע""מ","")</f>
        <v/>
      </c>
      <c r="I28" s="41" t="n"/>
    </row>
    <row r="29">
      <c r="A29" s="24" t="n">
        <v>26</v>
      </c>
      <c r="B29" s="40" t="n"/>
      <c r="C29" s="41" t="n"/>
      <c r="D29" s="41" t="n"/>
      <c r="E29" s="41" t="n"/>
      <c r="F29" s="41" t="n"/>
      <c r="G29" s="34">
        <f>IF(AND(D29&lt;&gt;"",E29&lt;&gt;""),D29*E29/10000*677+IF(F29="כן",30,0),"")</f>
        <v/>
      </c>
      <c r="H29" s="31">
        <f>IF(G29&lt;&gt;"",CEILING(G29*2,100)&amp;" + מע""מ","")</f>
        <v/>
      </c>
      <c r="I29" s="41" t="n"/>
    </row>
    <row r="30">
      <c r="A30" s="22" t="n">
        <v>27</v>
      </c>
      <c r="B30" s="40" t="n"/>
      <c r="C30" s="41" t="n"/>
      <c r="D30" s="41" t="n"/>
      <c r="E30" s="41" t="n"/>
      <c r="F30" s="41" t="n"/>
      <c r="G30" s="29">
        <f>IF(AND(D30&lt;&gt;"",E30&lt;&gt;""),D30*E30/10000*677+IF(F30="כן",30,0),"")</f>
        <v/>
      </c>
      <c r="H30" s="26">
        <f>IF(G30&lt;&gt;"",CEILING(G30*2,100)&amp;" + מע""מ","")</f>
        <v/>
      </c>
      <c r="I30" s="41" t="n"/>
    </row>
    <row r="31">
      <c r="A31" s="24" t="n">
        <v>28</v>
      </c>
      <c r="B31" s="40" t="n"/>
      <c r="C31" s="41" t="n"/>
      <c r="D31" s="41" t="n"/>
      <c r="E31" s="41" t="n"/>
      <c r="F31" s="41" t="n"/>
      <c r="G31" s="34">
        <f>IF(AND(D31&lt;&gt;"",E31&lt;&gt;""),D31*E31/10000*677+IF(F31="כן",30,0),"")</f>
        <v/>
      </c>
      <c r="H31" s="31">
        <f>IF(G31&lt;&gt;"",CEILING(G31*2,100)&amp;" + מע""מ","")</f>
        <v/>
      </c>
      <c r="I31" s="41" t="n"/>
    </row>
    <row r="32">
      <c r="A32" s="22" t="n">
        <v>29</v>
      </c>
      <c r="B32" s="40" t="n"/>
      <c r="C32" s="41" t="n"/>
      <c r="D32" s="41" t="n"/>
      <c r="E32" s="41" t="n"/>
      <c r="F32" s="41" t="n"/>
      <c r="G32" s="29">
        <f>IF(AND(D32&lt;&gt;"",E32&lt;&gt;""),D32*E32/10000*677+IF(F32="כן",30,0),"")</f>
        <v/>
      </c>
      <c r="H32" s="26">
        <f>IF(G32&lt;&gt;"",CEILING(G32*2,100)&amp;" + מע""מ","")</f>
        <v/>
      </c>
      <c r="I32" s="41" t="n"/>
    </row>
    <row r="33">
      <c r="A33" s="24" t="n">
        <v>30</v>
      </c>
      <c r="B33" s="40" t="n"/>
      <c r="C33" s="41" t="n"/>
      <c r="D33" s="41" t="n"/>
      <c r="E33" s="41" t="n"/>
      <c r="F33" s="41" t="n"/>
      <c r="G33" s="34">
        <f>IF(AND(D33&lt;&gt;"",E33&lt;&gt;""),D33*E33/10000*677+IF(F33="כן",30,0),"")</f>
        <v/>
      </c>
      <c r="H33" s="31">
        <f>IF(G33&lt;&gt;"",CEILING(G33*2,100)&amp;" + מע""מ","")</f>
        <v/>
      </c>
      <c r="I33" s="41" t="n"/>
    </row>
    <row r="34">
      <c r="A34" s="22" t="n">
        <v>31</v>
      </c>
      <c r="B34" s="40" t="n"/>
      <c r="C34" s="41" t="n"/>
      <c r="D34" s="41" t="n"/>
      <c r="E34" s="41" t="n"/>
      <c r="F34" s="41" t="n"/>
      <c r="G34" s="29">
        <f>IF(AND(D34&lt;&gt;"",E34&lt;&gt;""),D34*E34/10000*677+IF(F34="כן",30,0),"")</f>
        <v/>
      </c>
      <c r="H34" s="26">
        <f>IF(G34&lt;&gt;"",CEILING(G34*2,100)&amp;" + מע""מ","")</f>
        <v/>
      </c>
      <c r="I34" s="41" t="n"/>
    </row>
    <row r="35">
      <c r="A35" s="24" t="n">
        <v>32</v>
      </c>
      <c r="B35" s="40" t="n"/>
      <c r="C35" s="41" t="n"/>
      <c r="D35" s="41" t="n"/>
      <c r="E35" s="41" t="n"/>
      <c r="F35" s="41" t="n"/>
      <c r="G35" s="34">
        <f>IF(AND(D35&lt;&gt;"",E35&lt;&gt;""),D35*E35/10000*677+IF(F35="כן",30,0),"")</f>
        <v/>
      </c>
      <c r="H35" s="31">
        <f>IF(G35&lt;&gt;"",CEILING(G35*2,100)&amp;" + מע""מ","")</f>
        <v/>
      </c>
      <c r="I35" s="41" t="n"/>
    </row>
    <row r="36">
      <c r="A36" s="22" t="n">
        <v>33</v>
      </c>
      <c r="B36" s="40" t="n"/>
      <c r="C36" s="41" t="n"/>
      <c r="D36" s="41" t="n"/>
      <c r="E36" s="41" t="n"/>
      <c r="F36" s="41" t="n"/>
      <c r="G36" s="29">
        <f>IF(AND(D36&lt;&gt;"",E36&lt;&gt;""),D36*E36/10000*677+IF(F36="כן",30,0),"")</f>
        <v/>
      </c>
      <c r="H36" s="26">
        <f>IF(G36&lt;&gt;"",CEILING(G36*2,100)&amp;" + מע""מ","")</f>
        <v/>
      </c>
      <c r="I36" s="41" t="n"/>
    </row>
    <row r="37">
      <c r="A37" s="24" t="n">
        <v>34</v>
      </c>
      <c r="B37" s="40" t="n"/>
      <c r="C37" s="41" t="n"/>
      <c r="D37" s="41" t="n"/>
      <c r="E37" s="41" t="n"/>
      <c r="F37" s="41" t="n"/>
      <c r="G37" s="34">
        <f>IF(AND(D37&lt;&gt;"",E37&lt;&gt;""),D37*E37/10000*677+IF(F37="כן",30,0),"")</f>
        <v/>
      </c>
      <c r="H37" s="31">
        <f>IF(G37&lt;&gt;"",CEILING(G37*2,100)&amp;" + מע""מ","")</f>
        <v/>
      </c>
      <c r="I37" s="41" t="n"/>
    </row>
    <row r="38">
      <c r="A38" s="22" t="n">
        <v>35</v>
      </c>
      <c r="B38" s="40" t="n"/>
      <c r="C38" s="41" t="n"/>
      <c r="D38" s="41" t="n"/>
      <c r="E38" s="41" t="n"/>
      <c r="F38" s="41" t="n"/>
      <c r="G38" s="29">
        <f>IF(AND(D38&lt;&gt;"",E38&lt;&gt;""),D38*E38/10000*677+IF(F38="כן",30,0),"")</f>
        <v/>
      </c>
      <c r="H38" s="26">
        <f>IF(G38&lt;&gt;"",CEILING(G38*2,100)&amp;" + מע""מ","")</f>
        <v/>
      </c>
      <c r="I38" s="41" t="n"/>
    </row>
    <row r="39">
      <c r="A39" s="24" t="n">
        <v>36</v>
      </c>
      <c r="B39" s="40" t="n"/>
      <c r="C39" s="41" t="n"/>
      <c r="D39" s="41" t="n"/>
      <c r="E39" s="41" t="n"/>
      <c r="F39" s="41" t="n"/>
      <c r="G39" s="34">
        <f>IF(AND(D39&lt;&gt;"",E39&lt;&gt;""),D39*E39/10000*677+IF(F39="כן",30,0),"")</f>
        <v/>
      </c>
      <c r="H39" s="31">
        <f>IF(G39&lt;&gt;"",CEILING(G39*2,100)&amp;" + מע""מ","")</f>
        <v/>
      </c>
      <c r="I39" s="41" t="n"/>
    </row>
    <row r="40">
      <c r="A40" s="22" t="n">
        <v>37</v>
      </c>
      <c r="B40" s="40" t="n"/>
      <c r="C40" s="41" t="n"/>
      <c r="D40" s="41" t="n"/>
      <c r="E40" s="41" t="n"/>
      <c r="F40" s="41" t="n"/>
      <c r="G40" s="29">
        <f>IF(AND(D40&lt;&gt;"",E40&lt;&gt;""),D40*E40/10000*677+IF(F40="כן",30,0),"")</f>
        <v/>
      </c>
      <c r="H40" s="26">
        <f>IF(G40&lt;&gt;"",CEILING(G40*2,100)&amp;" + מע""מ","")</f>
        <v/>
      </c>
      <c r="I40" s="41" t="n"/>
    </row>
    <row r="41">
      <c r="A41" s="24" t="n">
        <v>38</v>
      </c>
      <c r="B41" s="40" t="n"/>
      <c r="C41" s="41" t="n"/>
      <c r="D41" s="41" t="n"/>
      <c r="E41" s="41" t="n"/>
      <c r="F41" s="41" t="n"/>
      <c r="G41" s="34">
        <f>IF(AND(D41&lt;&gt;"",E41&lt;&gt;""),D41*E41/10000*677+IF(F41="כן",30,0),"")</f>
        <v/>
      </c>
      <c r="H41" s="31">
        <f>IF(G41&lt;&gt;"",CEILING(G41*2,100)&amp;" + מע""מ","")</f>
        <v/>
      </c>
      <c r="I41" s="41" t="n"/>
    </row>
    <row r="42">
      <c r="A42" s="22" t="n">
        <v>39</v>
      </c>
      <c r="B42" s="40" t="n"/>
      <c r="C42" s="41" t="n"/>
      <c r="D42" s="41" t="n"/>
      <c r="E42" s="41" t="n"/>
      <c r="F42" s="41" t="n"/>
      <c r="G42" s="29">
        <f>IF(AND(D42&lt;&gt;"",E42&lt;&gt;""),D42*E42/10000*677+IF(F42="כן",30,0),"")</f>
        <v/>
      </c>
      <c r="H42" s="26">
        <f>IF(G42&lt;&gt;"",CEILING(G42*2,100)&amp;" + מע""מ","")</f>
        <v/>
      </c>
      <c r="I42" s="41" t="n"/>
    </row>
    <row r="43">
      <c r="A43" s="24" t="n">
        <v>40</v>
      </c>
      <c r="B43" s="40" t="n"/>
      <c r="C43" s="41" t="n"/>
      <c r="D43" s="41" t="n"/>
      <c r="E43" s="41" t="n"/>
      <c r="F43" s="41" t="n"/>
      <c r="G43" s="34">
        <f>IF(AND(D43&lt;&gt;"",E43&lt;&gt;""),D43*E43/10000*677+IF(F43="כן",30,0),"")</f>
        <v/>
      </c>
      <c r="H43" s="31">
        <f>IF(G43&lt;&gt;"",CEILING(G43*2,100)&amp;" + מע""מ","")</f>
        <v/>
      </c>
      <c r="I43" s="41" t="n"/>
    </row>
    <row r="44">
      <c r="A44" s="22" t="n">
        <v>41</v>
      </c>
      <c r="B44" s="40" t="n"/>
      <c r="C44" s="41" t="n"/>
      <c r="D44" s="41" t="n"/>
      <c r="E44" s="41" t="n"/>
      <c r="F44" s="41" t="n"/>
      <c r="G44" s="29">
        <f>IF(AND(D44&lt;&gt;"",E44&lt;&gt;""),D44*E44/10000*677+IF(F44="כן",30,0),"")</f>
        <v/>
      </c>
      <c r="H44" s="26">
        <f>IF(G44&lt;&gt;"",CEILING(G44*2,100)&amp;" + מע""מ","")</f>
        <v/>
      </c>
      <c r="I44" s="41" t="n"/>
    </row>
    <row r="45">
      <c r="A45" s="24" t="n">
        <v>42</v>
      </c>
      <c r="B45" s="40" t="n"/>
      <c r="C45" s="41" t="n"/>
      <c r="D45" s="41" t="n"/>
      <c r="E45" s="41" t="n"/>
      <c r="F45" s="41" t="n"/>
      <c r="G45" s="34">
        <f>IF(AND(D45&lt;&gt;"",E45&lt;&gt;""),D45*E45/10000*677+IF(F45="כן",30,0),"")</f>
        <v/>
      </c>
      <c r="H45" s="31">
        <f>IF(G45&lt;&gt;"",CEILING(G45*2,100)&amp;" + מע""מ","")</f>
        <v/>
      </c>
      <c r="I45" s="41" t="n"/>
    </row>
    <row r="46">
      <c r="A46" s="22" t="n">
        <v>43</v>
      </c>
      <c r="B46" s="40" t="n"/>
      <c r="C46" s="41" t="n"/>
      <c r="D46" s="41" t="n"/>
      <c r="E46" s="41" t="n"/>
      <c r="F46" s="41" t="n"/>
      <c r="G46" s="29">
        <f>IF(AND(D46&lt;&gt;"",E46&lt;&gt;""),D46*E46/10000*677+IF(F46="כן",30,0),"")</f>
        <v/>
      </c>
      <c r="H46" s="26">
        <f>IF(G46&lt;&gt;"",CEILING(G46*2,100)&amp;" + מע""מ","")</f>
        <v/>
      </c>
      <c r="I46" s="41" t="n"/>
    </row>
    <row r="47">
      <c r="A47" s="24" t="n">
        <v>44</v>
      </c>
      <c r="B47" s="40" t="n"/>
      <c r="C47" s="41" t="n"/>
      <c r="D47" s="41" t="n"/>
      <c r="E47" s="41" t="n"/>
      <c r="F47" s="41" t="n"/>
      <c r="G47" s="34">
        <f>IF(AND(D47&lt;&gt;"",E47&lt;&gt;""),D47*E47/10000*677+IF(F47="כן",30,0),"")</f>
        <v/>
      </c>
      <c r="H47" s="31">
        <f>IF(G47&lt;&gt;"",CEILING(G47*2,100)&amp;" + מע""מ","")</f>
        <v/>
      </c>
      <c r="I47" s="41" t="n"/>
    </row>
    <row r="48">
      <c r="A48" s="22" t="n">
        <v>45</v>
      </c>
      <c r="B48" s="40" t="n"/>
      <c r="C48" s="41" t="n"/>
      <c r="D48" s="41" t="n"/>
      <c r="E48" s="41" t="n"/>
      <c r="F48" s="41" t="n"/>
      <c r="G48" s="29">
        <f>IF(AND(D48&lt;&gt;"",E48&lt;&gt;""),D48*E48/10000*677+IF(F48="כן",30,0),"")</f>
        <v/>
      </c>
      <c r="H48" s="26">
        <f>IF(G48&lt;&gt;"",CEILING(G48*2,100)&amp;" + מע""מ","")</f>
        <v/>
      </c>
      <c r="I48" s="41" t="n"/>
    </row>
    <row r="49">
      <c r="A49" s="24" t="n">
        <v>46</v>
      </c>
      <c r="B49" s="40" t="n"/>
      <c r="C49" s="41" t="n"/>
      <c r="D49" s="41" t="n"/>
      <c r="E49" s="41" t="n"/>
      <c r="F49" s="41" t="n"/>
      <c r="G49" s="34">
        <f>IF(AND(D49&lt;&gt;"",E49&lt;&gt;""),D49*E49/10000*677+IF(F49="כן",30,0),"")</f>
        <v/>
      </c>
      <c r="H49" s="31">
        <f>IF(G49&lt;&gt;"",CEILING(G49*2,100)&amp;" + מע""מ","")</f>
        <v/>
      </c>
      <c r="I49" s="41" t="n"/>
    </row>
    <row r="50">
      <c r="A50" s="22" t="n">
        <v>47</v>
      </c>
      <c r="B50" s="40" t="n"/>
      <c r="C50" s="41" t="n"/>
      <c r="D50" s="41" t="n"/>
      <c r="E50" s="41" t="n"/>
      <c r="F50" s="41" t="n"/>
      <c r="G50" s="29">
        <f>IF(AND(D50&lt;&gt;"",E50&lt;&gt;""),D50*E50/10000*677+IF(F50="כן",30,0),"")</f>
        <v/>
      </c>
      <c r="H50" s="26">
        <f>IF(G50&lt;&gt;"",CEILING(G50*2,100)&amp;" + מע""מ","")</f>
        <v/>
      </c>
      <c r="I50" s="41" t="n"/>
    </row>
    <row r="51">
      <c r="A51" s="24" t="n">
        <v>48</v>
      </c>
      <c r="B51" s="40" t="n"/>
      <c r="C51" s="41" t="n"/>
      <c r="D51" s="41" t="n"/>
      <c r="E51" s="41" t="n"/>
      <c r="F51" s="41" t="n"/>
      <c r="G51" s="34">
        <f>IF(AND(D51&lt;&gt;"",E51&lt;&gt;""),D51*E51/10000*677+IF(F51="כן",30,0),"")</f>
        <v/>
      </c>
      <c r="H51" s="31">
        <f>IF(G51&lt;&gt;"",CEILING(G51*2,100)&amp;" + מע""מ","")</f>
        <v/>
      </c>
      <c r="I51" s="41" t="n"/>
    </row>
    <row r="52">
      <c r="A52" s="22" t="n">
        <v>49</v>
      </c>
      <c r="B52" s="40" t="n"/>
      <c r="C52" s="41" t="n"/>
      <c r="D52" s="41" t="n"/>
      <c r="E52" s="41" t="n"/>
      <c r="F52" s="41" t="n"/>
      <c r="G52" s="29">
        <f>IF(AND(D52&lt;&gt;"",E52&lt;&gt;""),D52*E52/10000*677+IF(F52="כן",30,0),"")</f>
        <v/>
      </c>
      <c r="H52" s="26">
        <f>IF(G52&lt;&gt;"",CEILING(G52*2,100)&amp;" + מע""מ","")</f>
        <v/>
      </c>
      <c r="I52" s="41" t="n"/>
    </row>
    <row r="53">
      <c r="A53" s="24" t="n">
        <v>50</v>
      </c>
      <c r="B53" s="40" t="n"/>
      <c r="C53" s="41" t="n"/>
      <c r="D53" s="41" t="n"/>
      <c r="E53" s="41" t="n"/>
      <c r="F53" s="41" t="n"/>
      <c r="G53" s="34">
        <f>IF(AND(D53&lt;&gt;"",E53&lt;&gt;""),D53*E53/10000*677+IF(F53="כן",30,0),"")</f>
        <v/>
      </c>
      <c r="H53" s="31">
        <f>IF(G53&lt;&gt;"",CEILING(G53*2,100)&amp;" + מע""מ","")</f>
        <v/>
      </c>
      <c r="I53" s="41" t="n"/>
    </row>
  </sheetData>
  <mergeCells count="1">
    <mergeCell ref="A1:I1"/>
  </mergeCells>
  <dataValidations count="2">
    <dataValidation sqref="I4 I5 I6 I7 I8 I9 I10 I11 I12 I13 I14 I15 I16 I17 I18 I19 I20 I21 I22 I23 I24 I25 I26 I27 I28 I29 I30 I31 I32 I33 I34 I35 I36 I37 I38 I39 I40 I41 I42 I43 I44 I45 I46 I47 I48 I49 I50 I51 I52 I53" showDropDown="0" showInputMessage="0" showErrorMessage="0" allowBlank="1" type="list">
      <formula1>"ממתין,בייצור,מוכן,נשלח,בוטל"</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1" type="list">
      <formula1>"כן,לא"</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rightToLeft="1" workbookViewId="0">
      <selection activeCell="A1" sqref="A1"/>
    </sheetView>
  </sheetViews>
  <sheetFormatPr baseColWidth="8" defaultRowHeight="15"/>
  <cols>
    <col width="4" customWidth="1" min="1" max="1"/>
    <col width="12" customWidth="1" min="2" max="2"/>
    <col width="12" customWidth="1" min="3" max="3"/>
    <col width="14" customWidth="1" min="4" max="4"/>
    <col width="16" customWidth="1" min="5" max="5"/>
    <col width="24" customWidth="1" min="6" max="6"/>
  </cols>
  <sheetData>
    <row r="1" ht="40" customHeight="1">
      <c r="B1" s="1" t="inlineStr">
        <is>
          <t>Mirror Frame Studio - מחירון גדלים מותאמים</t>
        </is>
      </c>
      <c r="C1" s="2" t="n"/>
      <c r="D1" s="2" t="n"/>
      <c r="E1" s="2" t="n"/>
      <c r="F1" s="2" t="n"/>
    </row>
    <row r="2">
      <c r="B2" s="42" t="inlineStr">
        <is>
          <t>הזן רוחב וגובה - המחיר מחושב אוטומטית (כולל LED)</t>
        </is>
      </c>
    </row>
    <row r="4" ht="30" customHeight="1">
      <c r="A4" s="21" t="inlineStr"/>
      <c r="B4" s="21" t="inlineStr">
        <is>
          <t>רוחב (ס"מ)</t>
        </is>
      </c>
      <c r="C4" s="21" t="inlineStr">
        <is>
          <t>גובה (ס"מ)</t>
        </is>
      </c>
      <c r="D4" s="21" t="inlineStr">
        <is>
          <t>שטח (מ"ר)</t>
        </is>
      </c>
      <c r="E4" s="21" t="inlineStr">
        <is>
          <t>עלות שלי</t>
        </is>
      </c>
      <c r="F4" s="21" t="inlineStr">
        <is>
          <t>מחיר ללקוח + מע"מ</t>
        </is>
      </c>
    </row>
    <row r="5">
      <c r="A5" s="26" t="n"/>
      <c r="B5" s="41" t="n">
        <v>40</v>
      </c>
      <c r="C5" s="41" t="n">
        <v>60</v>
      </c>
      <c r="D5" s="43">
        <f>IF(AND(B5&lt;&gt;"",C5&lt;&gt;""),B5*C5/10000,"")</f>
        <v/>
      </c>
      <c r="E5" s="29">
        <f>IF(D5&lt;&gt;"",D5*677+30,"")</f>
        <v/>
      </c>
      <c r="F5" s="26">
        <f>IF(E5&lt;&gt;"",CEILING(E5*2,100)&amp;" + מע""מ = ₪"&amp;TEXT(CEILING(E5*2,100)*1.18,"#,##0"),"")</f>
        <v/>
      </c>
    </row>
    <row r="6">
      <c r="A6" s="31" t="n"/>
      <c r="B6" s="41" t="n">
        <v>50</v>
      </c>
      <c r="C6" s="41" t="n">
        <v>70</v>
      </c>
      <c r="D6" s="44">
        <f>IF(AND(B6&lt;&gt;"",C6&lt;&gt;""),B6*C6/10000,"")</f>
        <v/>
      </c>
      <c r="E6" s="34">
        <f>IF(D6&lt;&gt;"",D6*677+30,"")</f>
        <v/>
      </c>
      <c r="F6" s="31">
        <f>IF(E6&lt;&gt;"",CEILING(E6*2,100)&amp;" + מע""מ = ₪"&amp;TEXT(CEILING(E6*2,100)*1.18,"#,##0"),"")</f>
        <v/>
      </c>
    </row>
    <row r="7">
      <c r="A7" s="26" t="n"/>
      <c r="B7" s="41" t="n">
        <v>60</v>
      </c>
      <c r="C7" s="41" t="n">
        <v>80</v>
      </c>
      <c r="D7" s="43">
        <f>IF(AND(B7&lt;&gt;"",C7&lt;&gt;""),B7*C7/10000,"")</f>
        <v/>
      </c>
      <c r="E7" s="29">
        <f>IF(D7&lt;&gt;"",D7*677+30,"")</f>
        <v/>
      </c>
      <c r="F7" s="26">
        <f>IF(E7&lt;&gt;"",CEILING(E7*2,100)&amp;" + מע""מ = ₪"&amp;TEXT(CEILING(E7*2,100)*1.18,"#,##0"),"")</f>
        <v/>
      </c>
    </row>
    <row r="8">
      <c r="A8" s="31" t="n"/>
      <c r="B8" s="41" t="n">
        <v>70</v>
      </c>
      <c r="C8" s="41" t="n">
        <v>100</v>
      </c>
      <c r="D8" s="44">
        <f>IF(AND(B8&lt;&gt;"",C8&lt;&gt;""),B8*C8/10000,"")</f>
        <v/>
      </c>
      <c r="E8" s="34">
        <f>IF(D8&lt;&gt;"",D8*677+30,"")</f>
        <v/>
      </c>
      <c r="F8" s="31">
        <f>IF(E8&lt;&gt;"",CEILING(E8*2,100)&amp;" + מע""מ = ₪"&amp;TEXT(CEILING(E8*2,100)*1.18,"#,##0"),"")</f>
        <v/>
      </c>
    </row>
    <row r="9">
      <c r="A9" s="26" t="n"/>
      <c r="B9" s="41" t="n">
        <v>80</v>
      </c>
      <c r="C9" s="41" t="n">
        <v>120</v>
      </c>
      <c r="D9" s="43">
        <f>IF(AND(B9&lt;&gt;"",C9&lt;&gt;""),B9*C9/10000,"")</f>
        <v/>
      </c>
      <c r="E9" s="29">
        <f>IF(D9&lt;&gt;"",D9*677+30,"")</f>
        <v/>
      </c>
      <c r="F9" s="26">
        <f>IF(E9&lt;&gt;"",CEILING(E9*2,100)&amp;" + מע""מ = ₪"&amp;TEXT(CEILING(E9*2,100)*1.18,"#,##0"),"")</f>
        <v/>
      </c>
    </row>
    <row r="10">
      <c r="A10" s="31" t="n"/>
      <c r="B10" s="41" t="n">
        <v>80</v>
      </c>
      <c r="C10" s="41" t="n">
        <v>160</v>
      </c>
      <c r="D10" s="44">
        <f>IF(AND(B10&lt;&gt;"",C10&lt;&gt;""),B10*C10/10000,"")</f>
        <v/>
      </c>
      <c r="E10" s="34">
        <f>IF(D10&lt;&gt;"",D10*677+30,"")</f>
        <v/>
      </c>
      <c r="F10" s="31">
        <f>IF(E10&lt;&gt;"",CEILING(E10*2,100)&amp;" + מע""מ = ₪"&amp;TEXT(CEILING(E10*2,100)*1.18,"#,##0"),"")</f>
        <v/>
      </c>
    </row>
    <row r="11">
      <c r="A11" s="26" t="n"/>
      <c r="B11" s="41" t="n">
        <v>100</v>
      </c>
      <c r="C11" s="41" t="n">
        <v>150</v>
      </c>
      <c r="D11" s="43">
        <f>IF(AND(B11&lt;&gt;"",C11&lt;&gt;""),B11*C11/10000,"")</f>
        <v/>
      </c>
      <c r="E11" s="29">
        <f>IF(D11&lt;&gt;"",D11*677+30,"")</f>
        <v/>
      </c>
      <c r="F11" s="26">
        <f>IF(E11&lt;&gt;"",CEILING(E11*2,100)&amp;" + מע""מ = ₪"&amp;TEXT(CEILING(E11*2,100)*1.18,"#,##0"),"")</f>
        <v/>
      </c>
    </row>
    <row r="12">
      <c r="A12" s="31" t="n"/>
      <c r="B12" s="41" t="n">
        <v>100</v>
      </c>
      <c r="C12" s="41" t="n">
        <v>200</v>
      </c>
      <c r="D12" s="44">
        <f>IF(AND(B12&lt;&gt;"",C12&lt;&gt;""),B12*C12/10000,"")</f>
        <v/>
      </c>
      <c r="E12" s="34">
        <f>IF(D12&lt;&gt;"",D12*677+30,"")</f>
        <v/>
      </c>
      <c r="F12" s="31">
        <f>IF(E12&lt;&gt;"",CEILING(E12*2,100)&amp;" + מע""מ = ₪"&amp;TEXT(CEILING(E12*2,100)*1.18,"#,##0"),"")</f>
        <v/>
      </c>
    </row>
    <row r="13">
      <c r="A13" s="26" t="n"/>
      <c r="B13" s="41" t="n"/>
      <c r="C13" s="41" t="n"/>
      <c r="D13" s="43">
        <f>IF(AND(B13&lt;&gt;"",C13&lt;&gt;""),B13*C13/10000,"")</f>
        <v/>
      </c>
      <c r="E13" s="29">
        <f>IF(D13&lt;&gt;"",D13*677+30,"")</f>
        <v/>
      </c>
      <c r="F13" s="26">
        <f>IF(E13&lt;&gt;"",CEILING(E13*2,100)&amp;" + מע""מ = ₪"&amp;TEXT(CEILING(E13*2,100)*1.18,"#,##0"),"")</f>
        <v/>
      </c>
    </row>
    <row r="14">
      <c r="A14" s="31" t="n"/>
      <c r="B14" s="41" t="n"/>
      <c r="C14" s="41" t="n"/>
      <c r="D14" s="44">
        <f>IF(AND(B14&lt;&gt;"",C14&lt;&gt;""),B14*C14/10000,"")</f>
        <v/>
      </c>
      <c r="E14" s="34">
        <f>IF(D14&lt;&gt;"",D14*677+30,"")</f>
        <v/>
      </c>
      <c r="F14" s="31">
        <f>IF(E14&lt;&gt;"",CEILING(E14*2,100)&amp;" + מע""מ = ₪"&amp;TEXT(CEILING(E14*2,100)*1.18,"#,##0"),"")</f>
        <v/>
      </c>
    </row>
    <row r="15">
      <c r="A15" s="26" t="n"/>
      <c r="B15" s="41" t="n"/>
      <c r="C15" s="41" t="n"/>
      <c r="D15" s="43">
        <f>IF(AND(B15&lt;&gt;"",C15&lt;&gt;""),B15*C15/10000,"")</f>
        <v/>
      </c>
      <c r="E15" s="29">
        <f>IF(D15&lt;&gt;"",D15*677+30,"")</f>
        <v/>
      </c>
      <c r="F15" s="26">
        <f>IF(E15&lt;&gt;"",CEILING(E15*2,100)&amp;" + מע""מ = ₪"&amp;TEXT(CEILING(E15*2,100)*1.18,"#,##0"),"")</f>
        <v/>
      </c>
    </row>
    <row r="16">
      <c r="A16" s="31" t="n"/>
      <c r="B16" s="41" t="n"/>
      <c r="C16" s="41" t="n"/>
      <c r="D16" s="44">
        <f>IF(AND(B16&lt;&gt;"",C16&lt;&gt;""),B16*C16/10000,"")</f>
        <v/>
      </c>
      <c r="E16" s="34">
        <f>IF(D16&lt;&gt;"",D16*677+30,"")</f>
        <v/>
      </c>
      <c r="F16" s="31">
        <f>IF(E16&lt;&gt;"",CEILING(E16*2,100)&amp;" + מע""מ = ₪"&amp;TEXT(CEILING(E16*2,100)*1.18,"#,##0"),"")</f>
        <v/>
      </c>
    </row>
    <row r="17">
      <c r="A17" s="26" t="n"/>
      <c r="B17" s="41" t="n"/>
      <c r="C17" s="41" t="n"/>
      <c r="D17" s="43">
        <f>IF(AND(B17&lt;&gt;"",C17&lt;&gt;""),B17*C17/10000,"")</f>
        <v/>
      </c>
      <c r="E17" s="29">
        <f>IF(D17&lt;&gt;"",D17*677+30,"")</f>
        <v/>
      </c>
      <c r="F17" s="26">
        <f>IF(E17&lt;&gt;"",CEILING(E17*2,100)&amp;" + מע""מ = ₪"&amp;TEXT(CEILING(E17*2,100)*1.18,"#,##0"),"")</f>
        <v/>
      </c>
    </row>
    <row r="18">
      <c r="A18" s="31" t="n"/>
      <c r="B18" s="41" t="n"/>
      <c r="C18" s="41" t="n"/>
      <c r="D18" s="44">
        <f>IF(AND(B18&lt;&gt;"",C18&lt;&gt;""),B18*C18/10000,"")</f>
        <v/>
      </c>
      <c r="E18" s="34">
        <f>IF(D18&lt;&gt;"",D18*677+30,"")</f>
        <v/>
      </c>
      <c r="F18" s="31">
        <f>IF(E18&lt;&gt;"",CEILING(E18*2,100)&amp;" + מע""מ = ₪"&amp;TEXT(CEILING(E18*2,100)*1.18,"#,##0"),"")</f>
        <v/>
      </c>
    </row>
    <row r="19">
      <c r="A19" s="26" t="n"/>
      <c r="B19" s="41" t="n"/>
      <c r="C19" s="41" t="n"/>
      <c r="D19" s="43">
        <f>IF(AND(B19&lt;&gt;"",C19&lt;&gt;""),B19*C19/10000,"")</f>
        <v/>
      </c>
      <c r="E19" s="29">
        <f>IF(D19&lt;&gt;"",D19*677+30,"")</f>
        <v/>
      </c>
      <c r="F19" s="26">
        <f>IF(E19&lt;&gt;"",CEILING(E19*2,100)&amp;" + מע""מ = ₪"&amp;TEXT(CEILING(E19*2,100)*1.18,"#,##0"),"")</f>
        <v/>
      </c>
    </row>
    <row r="20">
      <c r="A20" s="31" t="n"/>
      <c r="B20" s="41" t="n"/>
      <c r="C20" s="41" t="n"/>
      <c r="D20" s="44">
        <f>IF(AND(B20&lt;&gt;"",C20&lt;&gt;""),B20*C20/10000,"")</f>
        <v/>
      </c>
      <c r="E20" s="34">
        <f>IF(D20&lt;&gt;"",D20*677+30,"")</f>
        <v/>
      </c>
      <c r="F20" s="31">
        <f>IF(E20&lt;&gt;"",CEILING(E20*2,100)&amp;" + מע""מ = ₪"&amp;TEXT(CEILING(E20*2,100)*1.18,"#,##0"),"")</f>
        <v/>
      </c>
    </row>
    <row r="21">
      <c r="A21" s="26" t="n"/>
      <c r="B21" s="41" t="n"/>
      <c r="C21" s="41" t="n"/>
      <c r="D21" s="43">
        <f>IF(AND(B21&lt;&gt;"",C21&lt;&gt;""),B21*C21/10000,"")</f>
        <v/>
      </c>
      <c r="E21" s="29">
        <f>IF(D21&lt;&gt;"",D21*677+30,"")</f>
        <v/>
      </c>
      <c r="F21" s="26">
        <f>IF(E21&lt;&gt;"",CEILING(E21*2,100)&amp;" + מע""מ = ₪"&amp;TEXT(CEILING(E21*2,100)*1.18,"#,##0"),"")</f>
        <v/>
      </c>
    </row>
    <row r="22">
      <c r="A22" s="31" t="n"/>
      <c r="B22" s="41" t="n"/>
      <c r="C22" s="41" t="n"/>
      <c r="D22" s="44">
        <f>IF(AND(B22&lt;&gt;"",C22&lt;&gt;""),B22*C22/10000,"")</f>
        <v/>
      </c>
      <c r="E22" s="34">
        <f>IF(D22&lt;&gt;"",D22*677+30,"")</f>
        <v/>
      </c>
      <c r="F22" s="31">
        <f>IF(E22&lt;&gt;"",CEILING(E22*2,100)&amp;" + מע""מ = ₪"&amp;TEXT(CEILING(E22*2,100)*1.18,"#,##0"),"")</f>
        <v/>
      </c>
    </row>
    <row r="23">
      <c r="A23" s="26" t="n"/>
      <c r="B23" s="41" t="n"/>
      <c r="C23" s="41" t="n"/>
      <c r="D23" s="43">
        <f>IF(AND(B23&lt;&gt;"",C23&lt;&gt;""),B23*C23/10000,"")</f>
        <v/>
      </c>
      <c r="E23" s="29">
        <f>IF(D23&lt;&gt;"",D23*677+30,"")</f>
        <v/>
      </c>
      <c r="F23" s="26">
        <f>IF(E23&lt;&gt;"",CEILING(E23*2,100)&amp;" + מע""מ = ₪"&amp;TEXT(CEILING(E23*2,100)*1.18,"#,##0"),"")</f>
        <v/>
      </c>
    </row>
    <row r="24">
      <c r="A24" s="31" t="n"/>
      <c r="B24" s="41" t="n"/>
      <c r="C24" s="41" t="n"/>
      <c r="D24" s="44">
        <f>IF(AND(B24&lt;&gt;"",C24&lt;&gt;""),B24*C24/10000,"")</f>
        <v/>
      </c>
      <c r="E24" s="34">
        <f>IF(D24&lt;&gt;"",D24*677+30,"")</f>
        <v/>
      </c>
      <c r="F24" s="31">
        <f>IF(E24&lt;&gt;"",CEILING(E24*2,100)&amp;" + מע""מ = ₪"&amp;TEXT(CEILING(E24*2,100)*1.18,"#,##0"),"")</f>
        <v/>
      </c>
    </row>
    <row r="26">
      <c r="B26" s="20" t="inlineStr">
        <is>
          <t>* עלות ספק: ₪677/מ"ר + LED ₪30 | מכירה: x2 עיגול ל-100 + מע"מ 18%</t>
        </is>
      </c>
    </row>
  </sheetData>
  <mergeCells count="3">
    <mergeCell ref="B2:F2"/>
    <mergeCell ref="B26:F26"/>
    <mergeCell ref="B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2026-03-16T15:58:30Z</dcterms:created>
  <dcterms:modified xmlns:dcterms="http://purl.org/dc/terms/" xmlns:xsi="http://www.w3.org/2001/XMLSchema-instance" xsi:type="dcterms:W3CDTF">2026-03-16T15:58:31Z</dcterms:modified>
</cp:coreProperties>
</file>